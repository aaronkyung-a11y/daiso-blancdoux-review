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카테고리분할" sheetId="2" state="visible" r:id="rId4"/>
    <sheet name="클리어 히알 물광 크림 50 ml" sheetId="3" state="visible" r:id="rId5"/>
    <sheet name="클리어 히알 물광 부스터 앰플 30 ml" sheetId="4" state="visible" r:id="rId6"/>
    <sheet name="클리어히알결광 스킨핏프렙 40 ml" sheetId="5" state="visible" r:id="rId7"/>
    <sheet name="클리어 히알 물광 틴티드 커버 크림 40 ml" sheetId="6" state="visible" r:id="rId8"/>
    <sheet name="클리어 히알 물광 토너 150 ml" sheetId="7" state="visible" r:id="rId9"/>
    <sheet name="클리어히알결광 세럼미스트 150 ml" sheetId="8" state="visible" r:id="rId10"/>
    <sheet name="클리어히알결광 겔마스크 1매 25 g" sheetId="9" state="visible" r:id="rId11"/>
    <sheet name="클리어 히알 물광 토너 패드 4매입" sheetId="10" state="visible" r:id="rId12"/>
    <sheet name="클리어히알옴므 올인원에멀전 120 ml" sheetId="11" state="visible" r:id="rId13"/>
    <sheet name="클리어히알결광 선에센스 40 ml" sheetId="12" state="visible" r:id="rId14"/>
    <sheet name="클리어히알옴므 선크림 35 ml" sheetId="13" state="visible" r:id="rId15"/>
    <sheet name="클리어히알옴므 클렌징폼 120 ml" sheetId="14" state="visible" r:id="rId16"/>
    <sheet name="클리어히알옴므 토너 200 ml" sheetId="15" state="visible" r:id="rId17"/>
    <sheet name="클리어히알옴므 톤 커버크림 30 ml" sheetId="16" state="visible" r:id="rId18"/>
    <sheet name="클리어히알결광 젤클렌저 100 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<sst xmlns="http://schemas.openxmlformats.org/spreadsheetml/2006/main" count="2279" uniqueCount="327">
  <si>
    <r>
      <rPr>
        <b val="true"/>
        <sz val="16"/>
        <color rgb="FF2C2C2C"/>
        <rFont val="Noto Sans CJK SC"/>
        <family val="2"/>
      </rPr>
      <t xml:space="preserve">더랩 바이 블랑두 — 다이소몰 </t>
    </r>
    <r>
      <rPr>
        <b val="true"/>
        <sz val="16"/>
        <color rgb="FF2C2C2C"/>
        <rFont val="Malgun Gothic"/>
        <family val="0"/>
        <charset val="1"/>
      </rPr>
      <t xml:space="preserve">VOC </t>
    </r>
    <r>
      <rPr>
        <b val="true"/>
        <sz val="16"/>
        <color rgb="FF2C2C2C"/>
        <rFont val="Noto Sans CJK SC"/>
        <family val="2"/>
      </rPr>
      <t xml:space="preserve">키워드 분석 </t>
    </r>
    <r>
      <rPr>
        <b val="true"/>
        <sz val="16"/>
        <color rgb="FF2C2C2C"/>
        <rFont val="Malgun Gothic"/>
        <family val="0"/>
        <charset val="1"/>
      </rPr>
      <t xml:space="preserve">(v2)</t>
    </r>
  </si>
  <si>
    <r>
      <rPr>
        <i val="true"/>
        <sz val="10"/>
        <color rgb="FF888888"/>
        <rFont val="Malgun Gothic"/>
        <family val="0"/>
        <charset val="1"/>
      </rPr>
      <t xml:space="preserve">v2 </t>
    </r>
    <r>
      <rPr>
        <i val="true"/>
        <sz val="10"/>
        <color rgb="FF888888"/>
        <rFont val="Noto Sans CJK SC"/>
        <family val="2"/>
      </rPr>
      <t xml:space="preserve">업데이트</t>
    </r>
    <r>
      <rPr>
        <i val="true"/>
        <sz val="10"/>
        <color rgb="FF888888"/>
        <rFont val="Malgun Gothic"/>
        <family val="0"/>
        <charset val="1"/>
      </rPr>
      <t xml:space="preserve">: </t>
    </r>
    <r>
      <rPr>
        <i val="true"/>
        <sz val="10"/>
        <color rgb="FF888888"/>
        <rFont val="Noto Sans CJK SC"/>
        <family val="2"/>
      </rPr>
      <t xml:space="preserve">중복 키워드 병합 </t>
    </r>
    <r>
      <rPr>
        <i val="true"/>
        <sz val="10"/>
        <color rgb="FF888888"/>
        <rFont val="Malgun Gothic"/>
        <family val="0"/>
        <charset val="1"/>
      </rPr>
      <t xml:space="preserve">(</t>
    </r>
    <r>
      <rPr>
        <i val="true"/>
        <sz val="10"/>
        <color rgb="FF888888"/>
        <rFont val="Noto Sans CJK SC"/>
        <family val="2"/>
      </rPr>
      <t xml:space="preserve">촉촉</t>
    </r>
    <r>
      <rPr>
        <i val="true"/>
        <sz val="10"/>
        <color rgb="FF888888"/>
        <rFont val="Malgun Gothic"/>
        <family val="0"/>
        <charset val="1"/>
      </rPr>
      <t xml:space="preserve">/</t>
    </r>
    <r>
      <rPr>
        <i val="true"/>
        <sz val="10"/>
        <color rgb="FF888888"/>
        <rFont val="Noto Sans CJK SC"/>
        <family val="2"/>
      </rPr>
      <t xml:space="preserve">촉촉하다→촉촉 등</t>
    </r>
    <r>
      <rPr>
        <i val="true"/>
        <sz val="10"/>
        <color rgb="FF888888"/>
        <rFont val="Malgun Gothic"/>
        <family val="0"/>
        <charset val="1"/>
      </rPr>
      <t xml:space="preserve">) + </t>
    </r>
    <r>
      <rPr>
        <i val="true"/>
        <sz val="10"/>
        <color rgb="FF888888"/>
        <rFont val="Noto Sans CJK SC"/>
        <family val="2"/>
      </rPr>
      <t xml:space="preserve">스킨케어</t>
    </r>
    <r>
      <rPr>
        <i val="true"/>
        <sz val="10"/>
        <color rgb="FF888888"/>
        <rFont val="Malgun Gothic"/>
        <family val="0"/>
        <charset val="1"/>
      </rPr>
      <t xml:space="preserve">/</t>
    </r>
    <r>
      <rPr>
        <i val="true"/>
        <sz val="10"/>
        <color rgb="FF888888"/>
        <rFont val="Noto Sans CJK SC"/>
        <family val="2"/>
      </rPr>
      <t xml:space="preserve">메이크업 카테고리 분할  </t>
    </r>
    <r>
      <rPr>
        <i val="true"/>
        <sz val="10"/>
        <color rgb="FF888888"/>
        <rFont val="Malgun Gothic"/>
        <family val="0"/>
        <charset val="1"/>
      </rPr>
      <t xml:space="preserve">·  </t>
    </r>
    <r>
      <rPr>
        <i val="true"/>
        <sz val="10"/>
        <color rgb="FF888888"/>
        <rFont val="Noto Sans CJK SC"/>
        <family val="2"/>
      </rPr>
      <t xml:space="preserve">분석일</t>
    </r>
    <r>
      <rPr>
        <i val="true"/>
        <sz val="10"/>
        <color rgb="FF888888"/>
        <rFont val="Malgun Gothic"/>
        <family val="0"/>
        <charset val="1"/>
      </rPr>
      <t xml:space="preserve">: 2026-04-22</t>
    </r>
  </si>
  <si>
    <r>
      <rPr>
        <b val="true"/>
        <sz val="12"/>
        <color rgb="FF6B5B4F"/>
        <rFont val="Noto Sans CJK SC"/>
        <family val="2"/>
      </rPr>
      <t xml:space="preserve">제품별 요약 </t>
    </r>
    <r>
      <rPr>
        <b val="true"/>
        <sz val="12"/>
        <color rgb="FF6B5B4F"/>
        <rFont val="Malgun Gothic"/>
        <family val="0"/>
        <charset val="1"/>
      </rPr>
      <t xml:space="preserve">(</t>
    </r>
    <r>
      <rPr>
        <b val="true"/>
        <sz val="12"/>
        <color rgb="FF6B5B4F"/>
        <rFont val="Noto Sans CJK SC"/>
        <family val="2"/>
      </rPr>
      <t xml:space="preserve">메이크업 비중 기준 정렬 가능</t>
    </r>
    <r>
      <rPr>
        <b val="true"/>
        <sz val="12"/>
        <color rgb="FF6B5B4F"/>
        <rFont val="Malgun Gothic"/>
        <family val="0"/>
        <charset val="1"/>
      </rPr>
      <t xml:space="preserve">)</t>
    </r>
  </si>
  <si>
    <t xml:space="preserve">pdNo</t>
  </si>
  <si>
    <t xml:space="preserve">제품명</t>
  </si>
  <si>
    <t xml:space="preserve">평점</t>
  </si>
  <si>
    <t xml:space="preserve">리뷰수</t>
  </si>
  <si>
    <t xml:space="preserve">스킨케어 언급</t>
  </si>
  <si>
    <t xml:space="preserve">메이크업 언급</t>
  </si>
  <si>
    <r>
      <rPr>
        <b val="true"/>
        <sz val="11"/>
        <color rgb="FFFFFFFF"/>
        <rFont val="Noto Sans CJK SC"/>
        <family val="2"/>
      </rPr>
      <t xml:space="preserve">메이크업</t>
    </r>
    <r>
      <rPr>
        <b val="true"/>
        <sz val="11"/>
        <color rgb="FFFFFFFF"/>
        <rFont val="Malgun Gothic"/>
        <family val="0"/>
        <charset val="1"/>
      </rPr>
      <t xml:space="preserve">%</t>
    </r>
  </si>
  <si>
    <t xml:space="preserve">1060645</t>
  </si>
  <si>
    <r>
      <rPr>
        <sz val="10"/>
        <rFont val="Noto Sans CJK SC"/>
        <family val="2"/>
      </rPr>
      <t xml:space="preserve">더랩 바이 블랑두 클리어 히알 물광 크림 </t>
    </r>
    <r>
      <rPr>
        <sz val="10"/>
        <rFont val="Malgun Gothic"/>
        <family val="0"/>
        <charset val="1"/>
      </rPr>
      <t xml:space="preserve">50 ml</t>
    </r>
  </si>
  <si>
    <t xml:space="preserve">1060644</t>
  </si>
  <si>
    <r>
      <rPr>
        <sz val="10"/>
        <rFont val="Noto Sans CJK SC"/>
        <family val="2"/>
      </rPr>
      <t xml:space="preserve">더랩 바이 블랑두 클리어 히알 물광 부스터 앰플 </t>
    </r>
    <r>
      <rPr>
        <sz val="10"/>
        <rFont val="Malgun Gothic"/>
        <family val="0"/>
        <charset val="1"/>
      </rPr>
      <t xml:space="preserve">30 ml</t>
    </r>
  </si>
  <si>
    <t xml:space="preserve">1073406</t>
  </si>
  <si>
    <r>
      <rPr>
        <sz val="10"/>
        <rFont val="Noto Sans CJK SC"/>
        <family val="2"/>
      </rPr>
      <t xml:space="preserve">더랩바이블랑두 클리어히알결광 스킨핏프렙 </t>
    </r>
    <r>
      <rPr>
        <sz val="10"/>
        <rFont val="Malgun Gothic"/>
        <family val="0"/>
        <charset val="1"/>
      </rPr>
      <t xml:space="preserve">40 ml</t>
    </r>
  </si>
  <si>
    <t xml:space="preserve">1060646</t>
  </si>
  <si>
    <r>
      <rPr>
        <sz val="10"/>
        <rFont val="Noto Sans CJK SC"/>
        <family val="2"/>
      </rPr>
      <t xml:space="preserve">더랩 바이 블랑두 클리어 히알 물광 틴티드 커버 크림 </t>
    </r>
    <r>
      <rPr>
        <sz val="10"/>
        <rFont val="Malgun Gothic"/>
        <family val="0"/>
        <charset val="1"/>
      </rPr>
      <t xml:space="preserve">40 ml</t>
    </r>
  </si>
  <si>
    <t xml:space="preserve">1060643</t>
  </si>
  <si>
    <r>
      <rPr>
        <sz val="10"/>
        <rFont val="Noto Sans CJK SC"/>
        <family val="2"/>
      </rPr>
      <t xml:space="preserve">더랩 바이 블랑두 클리어 히알 물광 토너 </t>
    </r>
    <r>
      <rPr>
        <sz val="10"/>
        <rFont val="Malgun Gothic"/>
        <family val="0"/>
        <charset val="1"/>
      </rPr>
      <t xml:space="preserve">150 ml</t>
    </r>
  </si>
  <si>
    <t xml:space="preserve">1073405</t>
  </si>
  <si>
    <r>
      <rPr>
        <sz val="10"/>
        <rFont val="Noto Sans CJK SC"/>
        <family val="2"/>
      </rPr>
      <t xml:space="preserve">더랩바이블랑두 클리어히알결광 세럼미스트 </t>
    </r>
    <r>
      <rPr>
        <sz val="10"/>
        <rFont val="Malgun Gothic"/>
        <family val="0"/>
        <charset val="1"/>
      </rPr>
      <t xml:space="preserve">150 ml</t>
    </r>
  </si>
  <si>
    <t xml:space="preserve">1073409</t>
  </si>
  <si>
    <r>
      <rPr>
        <sz val="10"/>
        <rFont val="Noto Sans CJK SC"/>
        <family val="2"/>
      </rPr>
      <t xml:space="preserve">더랩바이블랑두 클리어히알결광 겔마스크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매 </t>
    </r>
    <r>
      <rPr>
        <sz val="10"/>
        <rFont val="Malgun Gothic"/>
        <family val="0"/>
        <charset val="1"/>
      </rPr>
      <t xml:space="preserve">25 g</t>
    </r>
  </si>
  <si>
    <t xml:space="preserve">1060642</t>
  </si>
  <si>
    <r>
      <rPr>
        <sz val="10"/>
        <rFont val="Noto Sans CJK SC"/>
        <family val="2"/>
      </rPr>
      <t xml:space="preserve">더랩 바이 블랑두 클리어 히알 물광 토너 패드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매입</t>
    </r>
  </si>
  <si>
    <t xml:space="preserve">1068780</t>
  </si>
  <si>
    <r>
      <rPr>
        <sz val="10"/>
        <rFont val="Noto Sans CJK SC"/>
        <family val="2"/>
      </rPr>
      <t xml:space="preserve">더랩바이블랑두 클리어히알옴므 올인원에멀전 </t>
    </r>
    <r>
      <rPr>
        <sz val="10"/>
        <rFont val="Malgun Gothic"/>
        <family val="0"/>
        <charset val="1"/>
      </rPr>
      <t xml:space="preserve">120 ml</t>
    </r>
  </si>
  <si>
    <t xml:space="preserve">1073408</t>
  </si>
  <si>
    <r>
      <rPr>
        <sz val="10"/>
        <rFont val="Noto Sans CJK SC"/>
        <family val="2"/>
      </rPr>
      <t xml:space="preserve">더랩바이블랑두 클리어히알결광 선에센스 </t>
    </r>
    <r>
      <rPr>
        <sz val="10"/>
        <rFont val="Malgun Gothic"/>
        <family val="0"/>
        <charset val="1"/>
      </rPr>
      <t xml:space="preserve">40 ml</t>
    </r>
  </si>
  <si>
    <t xml:space="preserve">1068781</t>
  </si>
  <si>
    <r>
      <rPr>
        <sz val="10"/>
        <rFont val="Noto Sans CJK SC"/>
        <family val="2"/>
      </rPr>
      <t xml:space="preserve">더랩바이블랑두 클리어히알옴므 선크림 </t>
    </r>
    <r>
      <rPr>
        <sz val="10"/>
        <rFont val="Malgun Gothic"/>
        <family val="0"/>
        <charset val="1"/>
      </rPr>
      <t xml:space="preserve">35 ml</t>
    </r>
  </si>
  <si>
    <t xml:space="preserve">1068778</t>
  </si>
  <si>
    <r>
      <rPr>
        <sz val="10"/>
        <rFont val="Noto Sans CJK SC"/>
        <family val="2"/>
      </rPr>
      <t xml:space="preserve">더랩바이블랑두 클리어히알옴므 클렌징폼 </t>
    </r>
    <r>
      <rPr>
        <sz val="10"/>
        <rFont val="Malgun Gothic"/>
        <family val="0"/>
        <charset val="1"/>
      </rPr>
      <t xml:space="preserve">120 ml</t>
    </r>
  </si>
  <si>
    <t xml:space="preserve">1068779</t>
  </si>
  <si>
    <r>
      <rPr>
        <sz val="10"/>
        <rFont val="Noto Sans CJK SC"/>
        <family val="2"/>
      </rPr>
      <t xml:space="preserve">더랩바이블랑두 클리어히알옴므 토너 </t>
    </r>
    <r>
      <rPr>
        <sz val="10"/>
        <rFont val="Malgun Gothic"/>
        <family val="0"/>
        <charset val="1"/>
      </rPr>
      <t xml:space="preserve">200 ml</t>
    </r>
  </si>
  <si>
    <t xml:space="preserve">1068782</t>
  </si>
  <si>
    <r>
      <rPr>
        <sz val="10"/>
        <rFont val="Noto Sans CJK SC"/>
        <family val="2"/>
      </rPr>
      <t xml:space="preserve">더랩바이블랑두 클리어히알옴므 톤 커버크림 </t>
    </r>
    <r>
      <rPr>
        <sz val="10"/>
        <rFont val="Malgun Gothic"/>
        <family val="0"/>
        <charset val="1"/>
      </rPr>
      <t xml:space="preserve">30 ml</t>
    </r>
  </si>
  <si>
    <t xml:space="preserve">1073407</t>
  </si>
  <si>
    <r>
      <rPr>
        <sz val="10"/>
        <rFont val="Noto Sans CJK SC"/>
        <family val="2"/>
      </rPr>
      <t xml:space="preserve">더랩바이블랑두 클리어히알결광 젤클렌저 </t>
    </r>
    <r>
      <rPr>
        <sz val="10"/>
        <rFont val="Malgun Gothic"/>
        <family val="0"/>
        <charset val="1"/>
      </rPr>
      <t xml:space="preserve">100 g</t>
    </r>
  </si>
  <si>
    <t xml:space="preserve">브랜드 전체</t>
  </si>
  <si>
    <t xml:space="preserve">브랜드 전체 키워드 집계</t>
  </si>
  <si>
    <t xml:space="preserve">분류</t>
  </si>
  <si>
    <r>
      <rPr>
        <b val="true"/>
        <sz val="11"/>
        <color rgb="FFFFFFFF"/>
        <rFont val="Noto Sans CJK SC"/>
        <family val="2"/>
      </rPr>
      <t xml:space="preserve">키워드</t>
    </r>
    <r>
      <rPr>
        <b val="true"/>
        <sz val="11"/>
        <color rgb="FFFFFFFF"/>
        <rFont val="Malgun Gothic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패턴</t>
    </r>
  </si>
  <si>
    <t xml:space="preserve">언급수</t>
  </si>
  <si>
    <r>
      <rPr>
        <b val="true"/>
        <sz val="10"/>
        <rFont val="Malgun Gothic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스킨케어 언어</t>
    </r>
    <r>
      <rPr>
        <b val="true"/>
        <sz val="10"/>
        <rFont val="Malgun Gothic"/>
        <family val="0"/>
        <charset val="1"/>
      </rPr>
      <t xml:space="preserve">]</t>
    </r>
  </si>
  <si>
    <t xml:space="preserve">촉촉</t>
  </si>
  <si>
    <t xml:space="preserve">피부</t>
  </si>
  <si>
    <t xml:space="preserve">수분</t>
  </si>
  <si>
    <t xml:space="preserve">흡수</t>
  </si>
  <si>
    <t xml:space="preserve">자극</t>
  </si>
  <si>
    <t xml:space="preserve">순함</t>
  </si>
  <si>
    <t xml:space="preserve">건조</t>
  </si>
  <si>
    <t xml:space="preserve">트러블</t>
  </si>
  <si>
    <t xml:space="preserve">보습</t>
  </si>
  <si>
    <t xml:space="preserve">선크림</t>
  </si>
  <si>
    <t xml:space="preserve">수분감</t>
  </si>
  <si>
    <t xml:space="preserve">쫀쫀</t>
  </si>
  <si>
    <t xml:space="preserve">속건조</t>
  </si>
  <si>
    <t xml:space="preserve">유분</t>
  </si>
  <si>
    <t xml:space="preserve">수분크림</t>
  </si>
  <si>
    <r>
      <rPr>
        <b val="true"/>
        <sz val="10"/>
        <rFont val="Malgun Gothic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메이크업 언어</t>
    </r>
    <r>
      <rPr>
        <b val="true"/>
        <sz val="10"/>
        <rFont val="Malgun Gothic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</si>
  <si>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화장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메이크업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</si>
  <si>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메이크업</t>
    </r>
    <r>
      <rPr>
        <sz val="10"/>
        <rFont val="Malgun Gothic"/>
        <family val="0"/>
        <charset val="1"/>
      </rPr>
      <t xml:space="preserve">_</t>
    </r>
    <r>
      <rPr>
        <sz val="10"/>
        <rFont val="Noto Sans CJK SC"/>
        <family val="2"/>
      </rPr>
      <t xml:space="preserve">전</t>
    </r>
  </si>
  <si>
    <t xml:space="preserve">발림성</t>
  </si>
  <si>
    <t xml:space="preserve">파운데이션</t>
  </si>
  <si>
    <t xml:space="preserve">커버</t>
  </si>
  <si>
    <t xml:space="preserve">쿠션</t>
  </si>
  <si>
    <t xml:space="preserve">백탁</t>
  </si>
  <si>
    <t xml:space="preserve">베이스</t>
  </si>
  <si>
    <t xml:space="preserve">피부톤</t>
  </si>
  <si>
    <t xml:space="preserve">커버력</t>
  </si>
  <si>
    <t xml:space="preserve">톤업</t>
  </si>
  <si>
    <t xml:space="preserve">밀림</t>
  </si>
  <si>
    <r>
      <rPr>
        <b val="true"/>
        <sz val="10"/>
        <rFont val="Malgun Gothic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유입</t>
    </r>
    <r>
      <rPr>
        <b val="true"/>
        <sz val="10"/>
        <rFont val="Malgun Gothic"/>
        <family val="0"/>
        <charset val="1"/>
      </rPr>
      <t xml:space="preserve">/Discovery]</t>
    </r>
  </si>
  <si>
    <t xml:space="preserve">재구매</t>
  </si>
  <si>
    <t xml:space="preserve">가성비검색</t>
  </si>
  <si>
    <t xml:space="preserve">유명해서</t>
  </si>
  <si>
    <t xml:space="preserve">처음사용</t>
  </si>
  <si>
    <t xml:space="preserve">유튜브</t>
  </si>
  <si>
    <t xml:space="preserve">올리브영비교</t>
  </si>
  <si>
    <t xml:space="preserve">다른제품비교</t>
  </si>
  <si>
    <t xml:space="preserve">다이소검색</t>
  </si>
  <si>
    <t xml:space="preserve">인스타</t>
  </si>
  <si>
    <t xml:space="preserve">성분검색</t>
  </si>
  <si>
    <t xml:space="preserve">브랜드팬</t>
  </si>
  <si>
    <t xml:space="preserve">지인추천</t>
  </si>
  <si>
    <t xml:space="preserve">선물</t>
  </si>
  <si>
    <t xml:space="preserve">블로그</t>
  </si>
  <si>
    <r>
      <rPr>
        <b val="true"/>
        <sz val="10"/>
        <rFont val="Malgun Gothic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긍정 키워드</t>
    </r>
    <r>
      <rPr>
        <b val="true"/>
        <sz val="10"/>
        <rFont val="Malgun Gothic"/>
        <family val="0"/>
        <charset val="1"/>
      </rPr>
      <t xml:space="preserve">]</t>
    </r>
  </si>
  <si>
    <t xml:space="preserve">만족</t>
  </si>
  <si>
    <t xml:space="preserve">가성비</t>
  </si>
  <si>
    <t xml:space="preserve">최고</t>
  </si>
  <si>
    <t xml:space="preserve">추천</t>
  </si>
  <si>
    <t xml:space="preserve">빠름</t>
  </si>
  <si>
    <r>
      <rPr>
        <b val="true"/>
        <sz val="10"/>
        <rFont val="Malgun Gothic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불만 패턴</t>
    </r>
    <r>
      <rPr>
        <b val="true"/>
        <sz val="10"/>
        <rFont val="Malgun Gothic"/>
        <family val="0"/>
        <charset val="1"/>
      </rPr>
      <t xml:space="preserve">]</t>
    </r>
  </si>
  <si>
    <t xml:space="preserve">끈적임</t>
  </si>
  <si>
    <t xml:space="preserve">기대이하</t>
  </si>
  <si>
    <t xml:space="preserve">가루</t>
  </si>
  <si>
    <t xml:space="preserve">트러블남</t>
  </si>
  <si>
    <t xml:space="preserve">안맞음</t>
  </si>
  <si>
    <t xml:space="preserve">향별로</t>
  </si>
  <si>
    <t xml:space="preserve">흡수느림</t>
  </si>
  <si>
    <r>
      <rPr>
        <b val="true"/>
        <sz val="14"/>
        <color rgb="FF2C2C2C"/>
        <rFont val="Noto Sans CJK SC"/>
        <family val="2"/>
      </rPr>
      <t xml:space="preserve">스킨케어 </t>
    </r>
    <r>
      <rPr>
        <b val="true"/>
        <sz val="14"/>
        <color rgb="FF2C2C2C"/>
        <rFont val="Malgun Gothic"/>
        <family val="0"/>
        <charset val="1"/>
      </rPr>
      <t xml:space="preserve">vs </t>
    </r>
    <r>
      <rPr>
        <b val="true"/>
        <sz val="14"/>
        <color rgb="FF2C2C2C"/>
        <rFont val="Noto Sans CJK SC"/>
        <family val="2"/>
      </rPr>
      <t xml:space="preserve">메이크업 카테고리 분할</t>
    </r>
  </si>
  <si>
    <r>
      <rPr>
        <i val="true"/>
        <sz val="10"/>
        <color rgb="FF6B5B4F"/>
        <rFont val="Noto Sans CJK SC"/>
        <family val="2"/>
      </rPr>
      <t xml:space="preserve">브랜드 전체</t>
    </r>
    <r>
      <rPr>
        <i val="true"/>
        <sz val="10"/>
        <color rgb="FF6B5B4F"/>
        <rFont val="Malgun Gothic"/>
        <family val="0"/>
        <charset val="1"/>
      </rPr>
      <t xml:space="preserve">: </t>
    </r>
    <r>
      <rPr>
        <i val="true"/>
        <sz val="10"/>
        <color rgb="FF6B5B4F"/>
        <rFont val="Noto Sans CJK SC"/>
        <family val="2"/>
      </rPr>
      <t xml:space="preserve">스킨케어 언급 </t>
    </r>
    <r>
      <rPr>
        <i val="true"/>
        <sz val="10"/>
        <color rgb="FF6B5B4F"/>
        <rFont val="Malgun Gothic"/>
        <family val="0"/>
        <charset val="1"/>
      </rPr>
      <t xml:space="preserve">13,215</t>
    </r>
    <r>
      <rPr>
        <i val="true"/>
        <sz val="10"/>
        <color rgb="FF6B5B4F"/>
        <rFont val="Noto Sans CJK SC"/>
        <family val="2"/>
      </rPr>
      <t xml:space="preserve">건 </t>
    </r>
    <r>
      <rPr>
        <i val="true"/>
        <sz val="10"/>
        <color rgb="FF6B5B4F"/>
        <rFont val="Malgun Gothic"/>
        <family val="0"/>
        <charset val="1"/>
      </rPr>
      <t xml:space="preserve">(78.9%)  vs  </t>
    </r>
    <r>
      <rPr>
        <i val="true"/>
        <sz val="10"/>
        <color rgb="FF6B5B4F"/>
        <rFont val="Noto Sans CJK SC"/>
        <family val="2"/>
      </rPr>
      <t xml:space="preserve">메이크업 언급 </t>
    </r>
    <r>
      <rPr>
        <i val="true"/>
        <sz val="10"/>
        <color rgb="FF6B5B4F"/>
        <rFont val="Malgun Gothic"/>
        <family val="0"/>
        <charset val="1"/>
      </rPr>
      <t xml:space="preserve">3,544</t>
    </r>
    <r>
      <rPr>
        <i val="true"/>
        <sz val="10"/>
        <color rgb="FF6B5B4F"/>
        <rFont val="Noto Sans CJK SC"/>
        <family val="2"/>
      </rPr>
      <t xml:space="preserve">건 </t>
    </r>
    <r>
      <rPr>
        <i val="true"/>
        <sz val="10"/>
        <color rgb="FF6B5B4F"/>
        <rFont val="Malgun Gothic"/>
        <family val="0"/>
        <charset val="1"/>
      </rPr>
      <t xml:space="preserve">(21.1%)</t>
    </r>
  </si>
  <si>
    <t xml:space="preserve">제품</t>
  </si>
  <si>
    <r>
      <rPr>
        <b val="true"/>
        <sz val="11"/>
        <color rgb="FFFFFFFF"/>
        <rFont val="Noto Sans CJK SC"/>
        <family val="2"/>
      </rPr>
      <t xml:space="preserve">스킨케어 </t>
    </r>
    <r>
      <rPr>
        <b val="true"/>
        <sz val="11"/>
        <color rgb="FFFFFFFF"/>
        <rFont val="Malgun Gothic"/>
        <family val="0"/>
        <charset val="1"/>
      </rPr>
      <t xml:space="preserve">TOP </t>
    </r>
    <r>
      <rPr>
        <b val="true"/>
        <sz val="11"/>
        <color rgb="FFFFFFFF"/>
        <rFont val="Noto Sans CJK SC"/>
        <family val="2"/>
      </rPr>
      <t xml:space="preserve">키워드</t>
    </r>
  </si>
  <si>
    <r>
      <rPr>
        <b val="true"/>
        <sz val="11"/>
        <color rgb="FFFFFFFF"/>
        <rFont val="Noto Sans CJK SC"/>
        <family val="2"/>
      </rPr>
      <t xml:space="preserve">메이크업 </t>
    </r>
    <r>
      <rPr>
        <b val="true"/>
        <sz val="11"/>
        <color rgb="FFFFFFFF"/>
        <rFont val="Malgun Gothic"/>
        <family val="0"/>
        <charset val="1"/>
      </rPr>
      <t xml:space="preserve">TOP </t>
    </r>
    <r>
      <rPr>
        <b val="true"/>
        <sz val="11"/>
        <color rgb="FFFFFFFF"/>
        <rFont val="Noto Sans CJK SC"/>
        <family val="2"/>
      </rPr>
      <t xml:space="preserve">키워드</t>
    </r>
  </si>
  <si>
    <r>
      <rPr>
        <b val="true"/>
        <sz val="10"/>
        <rFont val="Noto Sans CJK SC"/>
        <family val="2"/>
      </rPr>
      <t xml:space="preserve">더랩 바이 블랑두 클리어 히알 물광 크림 </t>
    </r>
    <r>
      <rPr>
        <b val="true"/>
        <sz val="10"/>
        <rFont val="Malgun Gothic"/>
        <family val="0"/>
        <charset val="1"/>
      </rPr>
      <t xml:space="preserve">50 ml</t>
    </r>
  </si>
  <si>
    <r>
      <rPr>
        <b val="true"/>
        <sz val="10"/>
        <rFont val="Noto Sans CJK SC"/>
        <family val="2"/>
      </rPr>
      <t xml:space="preserve">더랩 바이 블랑두 클리어 히알 물광 부스터 앰플 </t>
    </r>
    <r>
      <rPr>
        <b val="true"/>
        <sz val="10"/>
        <rFont val="Malgun Gothic"/>
        <family val="0"/>
        <charset val="1"/>
      </rPr>
      <t xml:space="preserve">30 ml</t>
    </r>
  </si>
  <si>
    <r>
      <rPr>
        <b val="true"/>
        <sz val="10"/>
        <rFont val="Noto Sans CJK SC"/>
        <family val="2"/>
      </rPr>
      <t xml:space="preserve">더랩바이블랑두 클리어히알결광 스킨핏프렙 </t>
    </r>
    <r>
      <rPr>
        <b val="true"/>
        <sz val="10"/>
        <rFont val="Malgun Gothic"/>
        <family val="0"/>
        <charset val="1"/>
      </rPr>
      <t xml:space="preserve">40 ml</t>
    </r>
  </si>
  <si>
    <r>
      <rPr>
        <b val="true"/>
        <sz val="10"/>
        <rFont val="Noto Sans CJK SC"/>
        <family val="2"/>
      </rPr>
      <t xml:space="preserve">더랩 바이 블랑두 클리어 히알 물광 틴티드 커버 크림 </t>
    </r>
    <r>
      <rPr>
        <b val="true"/>
        <sz val="10"/>
        <rFont val="Malgun Gothic"/>
        <family val="0"/>
        <charset val="1"/>
      </rPr>
      <t xml:space="preserve">40 ml</t>
    </r>
  </si>
  <si>
    <t xml:space="preserve">각질</t>
  </si>
  <si>
    <r>
      <rPr>
        <b val="true"/>
        <sz val="10"/>
        <rFont val="Noto Sans CJK SC"/>
        <family val="2"/>
      </rPr>
      <t xml:space="preserve">더랩 바이 블랑두 클리어 히알 물광 토너 </t>
    </r>
    <r>
      <rPr>
        <b val="true"/>
        <sz val="10"/>
        <rFont val="Malgun Gothic"/>
        <family val="0"/>
        <charset val="1"/>
      </rPr>
      <t xml:space="preserve">150 ml</t>
    </r>
  </si>
  <si>
    <r>
      <rPr>
        <b val="true"/>
        <sz val="10"/>
        <rFont val="Noto Sans CJK SC"/>
        <family val="2"/>
      </rPr>
      <t xml:space="preserve">더랩바이블랑두 클리어히알결광 세럼미스트 </t>
    </r>
    <r>
      <rPr>
        <b val="true"/>
        <sz val="10"/>
        <rFont val="Malgun Gothic"/>
        <family val="0"/>
        <charset val="1"/>
      </rPr>
      <t xml:space="preserve">150 ml</t>
    </r>
  </si>
  <si>
    <t xml:space="preserve">프라이머</t>
  </si>
  <si>
    <r>
      <rPr>
        <b val="true"/>
        <sz val="10"/>
        <rFont val="Noto Sans CJK SC"/>
        <family val="2"/>
      </rPr>
      <t xml:space="preserve">더랩바이블랑두 클리어히알결광 겔마스크 </t>
    </r>
    <r>
      <rPr>
        <b val="true"/>
        <sz val="10"/>
        <rFont val="Malgun Gothic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매 </t>
    </r>
    <r>
      <rPr>
        <b val="true"/>
        <sz val="10"/>
        <rFont val="Malgun Gothic"/>
        <family val="0"/>
        <charset val="1"/>
      </rPr>
      <t xml:space="preserve">25 g</t>
    </r>
  </si>
  <si>
    <t xml:space="preserve">밀착</t>
  </si>
  <si>
    <t xml:space="preserve">마스크</t>
  </si>
  <si>
    <t xml:space="preserve">밀착력</t>
  </si>
  <si>
    <t xml:space="preserve">마스크팩</t>
  </si>
  <si>
    <r>
      <rPr>
        <b val="true"/>
        <sz val="10"/>
        <rFont val="Noto Sans CJK SC"/>
        <family val="2"/>
      </rPr>
      <t xml:space="preserve">더랩 바이 블랑두 클리어 히알 물광 토너 패드 </t>
    </r>
    <r>
      <rPr>
        <b val="true"/>
        <sz val="10"/>
        <rFont val="Malgun Gothic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매입</t>
    </r>
  </si>
  <si>
    <t xml:space="preserve">토너패드</t>
  </si>
  <si>
    <r>
      <rPr>
        <b val="true"/>
        <sz val="10"/>
        <rFont val="Noto Sans CJK SC"/>
        <family val="2"/>
      </rPr>
      <t xml:space="preserve">더랩바이블랑두 클리어히알옴므 올인원에멀전 </t>
    </r>
    <r>
      <rPr>
        <b val="true"/>
        <sz val="10"/>
        <rFont val="Malgun Gothic"/>
        <family val="0"/>
        <charset val="1"/>
      </rPr>
      <t xml:space="preserve">120 ml</t>
    </r>
  </si>
  <si>
    <r>
      <rPr>
        <b val="true"/>
        <sz val="10"/>
        <rFont val="Noto Sans CJK SC"/>
        <family val="2"/>
      </rPr>
      <t xml:space="preserve">더랩바이블랑두 클리어히알결광 선에센스 </t>
    </r>
    <r>
      <rPr>
        <b val="true"/>
        <sz val="10"/>
        <rFont val="Malgun Gothic"/>
        <family val="0"/>
        <charset val="1"/>
      </rPr>
      <t xml:space="preserve">40 ml</t>
    </r>
  </si>
  <si>
    <t xml:space="preserve">선에센스</t>
  </si>
  <si>
    <r>
      <rPr>
        <b val="true"/>
        <sz val="10"/>
        <rFont val="Noto Sans CJK SC"/>
        <family val="2"/>
      </rPr>
      <t xml:space="preserve">더랩바이블랑두 클리어히알옴므 선크림 </t>
    </r>
    <r>
      <rPr>
        <b val="true"/>
        <sz val="10"/>
        <rFont val="Malgun Gothic"/>
        <family val="0"/>
        <charset val="1"/>
      </rPr>
      <t xml:space="preserve">35 ml</t>
    </r>
  </si>
  <si>
    <t xml:space="preserve">산뜻</t>
  </si>
  <si>
    <r>
      <rPr>
        <b val="true"/>
        <sz val="10"/>
        <rFont val="Noto Sans CJK SC"/>
        <family val="2"/>
      </rPr>
      <t xml:space="preserve">더랩바이블랑두 클리어히알옴므 클렌징폼 </t>
    </r>
    <r>
      <rPr>
        <b val="true"/>
        <sz val="10"/>
        <rFont val="Malgun Gothic"/>
        <family val="0"/>
        <charset val="1"/>
      </rPr>
      <t xml:space="preserve">120 ml</t>
    </r>
  </si>
  <si>
    <t xml:space="preserve">피지</t>
  </si>
  <si>
    <r>
      <rPr>
        <b val="true"/>
        <sz val="10"/>
        <rFont val="Noto Sans CJK SC"/>
        <family val="2"/>
      </rPr>
      <t xml:space="preserve">더랩바이블랑두 클리어히알옴므 토너 </t>
    </r>
    <r>
      <rPr>
        <b val="true"/>
        <sz val="10"/>
        <rFont val="Malgun Gothic"/>
        <family val="0"/>
        <charset val="1"/>
      </rPr>
      <t xml:space="preserve">200 ml</t>
    </r>
  </si>
  <si>
    <r>
      <rPr>
        <b val="true"/>
        <sz val="10"/>
        <rFont val="Noto Sans CJK SC"/>
        <family val="2"/>
      </rPr>
      <t xml:space="preserve">더랩바이블랑두 클리어히알옴므 톤 커버크림 </t>
    </r>
    <r>
      <rPr>
        <b val="true"/>
        <sz val="10"/>
        <rFont val="Malgun Gothic"/>
        <family val="0"/>
        <charset val="1"/>
      </rPr>
      <t xml:space="preserve">30 ml</t>
    </r>
  </si>
  <si>
    <t xml:space="preserve">업크림</t>
  </si>
  <si>
    <t xml:space="preserve">톤커버</t>
  </si>
  <si>
    <r>
      <rPr>
        <b val="true"/>
        <sz val="10"/>
        <rFont val="Noto Sans CJK SC"/>
        <family val="2"/>
      </rPr>
      <t xml:space="preserve">더랩바이블랑두 클리어히알결광 젤클렌저 </t>
    </r>
    <r>
      <rPr>
        <b val="true"/>
        <sz val="10"/>
        <rFont val="Malgun Gothic"/>
        <family val="0"/>
        <charset val="1"/>
      </rPr>
      <t xml:space="preserve">100 g</t>
    </r>
  </si>
  <si>
    <r>
      <rPr>
        <b val="true"/>
        <sz val="14"/>
        <color rgb="FF2C2C2C"/>
        <rFont val="Noto Sans CJK SC"/>
        <family val="2"/>
      </rPr>
      <t xml:space="preserve">더랩 바이 블랑두 클리어 히알 물광 크림 </t>
    </r>
    <r>
      <rPr>
        <b val="true"/>
        <sz val="14"/>
        <color rgb="FF2C2C2C"/>
        <rFont val="Malgun Gothic"/>
        <family val="0"/>
        <charset val="1"/>
      </rPr>
      <t xml:space="preserve">50 ml</t>
    </r>
  </si>
  <si>
    <r>
      <rPr>
        <i val="true"/>
        <sz val="10"/>
        <color rgb="FF888888"/>
        <rFont val="Malgun Gothic"/>
        <family val="0"/>
        <charset val="1"/>
      </rPr>
      <t xml:space="preserve">pdNo 1060645  ·  ★4.8  ·  </t>
    </r>
    <r>
      <rPr>
        <i val="true"/>
        <sz val="10"/>
        <color rgb="FF888888"/>
        <rFont val="Noto Sans CJK SC"/>
        <family val="2"/>
      </rPr>
      <t xml:space="preserve">리뷰 </t>
    </r>
    <r>
      <rPr>
        <i val="true"/>
        <sz val="10"/>
        <color rgb="FF888888"/>
        <rFont val="Malgun Gothic"/>
        <family val="0"/>
        <charset val="1"/>
      </rPr>
      <t xml:space="preserve">3,334</t>
    </r>
    <r>
      <rPr>
        <i val="true"/>
        <sz val="10"/>
        <color rgb="FF888888"/>
        <rFont val="Noto Sans CJK SC"/>
        <family val="2"/>
      </rPr>
      <t xml:space="preserve">건  </t>
    </r>
    <r>
      <rPr>
        <i val="true"/>
        <sz val="10"/>
        <color rgb="FF888888"/>
        <rFont val="Malgun Gothic"/>
        <family val="0"/>
        <charset val="1"/>
      </rPr>
      <t xml:space="preserve">·  </t>
    </r>
    <r>
      <rPr>
        <i val="true"/>
        <sz val="10"/>
        <color rgb="FF888888"/>
        <rFont val="Noto Sans CJK SC"/>
        <family val="2"/>
      </rPr>
      <t xml:space="preserve">메이크업 비중 </t>
    </r>
    <r>
      <rPr>
        <i val="true"/>
        <sz val="10"/>
        <color rgb="FF888888"/>
        <rFont val="Malgun Gothic"/>
        <family val="0"/>
        <charset val="1"/>
      </rPr>
      <t xml:space="preserve">19.4%</t>
    </r>
  </si>
  <si>
    <r>
      <rPr>
        <b val="true"/>
        <sz val="12"/>
        <color rgb="FF6B5B4F"/>
        <rFont val="Noto Sans CJK SC"/>
        <family val="2"/>
      </rPr>
      <t xml:space="preserve">🔬 스킨케어 </t>
    </r>
    <r>
      <rPr>
        <b val="true"/>
        <sz val="12"/>
        <color rgb="FF6B5B4F"/>
        <rFont val="Malgun Gothic"/>
        <family val="0"/>
        <charset val="1"/>
      </rPr>
      <t xml:space="preserve">vs 💄 </t>
    </r>
    <r>
      <rPr>
        <b val="true"/>
        <sz val="12"/>
        <color rgb="FF6B5B4F"/>
        <rFont val="Noto Sans CJK SC"/>
        <family val="2"/>
      </rPr>
      <t xml:space="preserve">메이크업 — 고객이 쓴 언어</t>
    </r>
  </si>
  <si>
    <r>
      <rPr>
        <b val="true"/>
        <sz val="11"/>
        <color rgb="FFFFFFFF"/>
        <rFont val="Malgun Gothic"/>
        <family val="0"/>
        <charset val="1"/>
      </rPr>
      <t xml:space="preserve">Skincare </t>
    </r>
    <r>
      <rPr>
        <b val="true"/>
        <sz val="11"/>
        <color rgb="FFFFFFFF"/>
        <rFont val="Noto Sans CJK SC"/>
        <family val="2"/>
      </rPr>
      <t xml:space="preserve">키워드</t>
    </r>
  </si>
  <si>
    <t xml:space="preserve">언급</t>
  </si>
  <si>
    <r>
      <rPr>
        <b val="true"/>
        <sz val="11"/>
        <color rgb="FFFFFFFF"/>
        <rFont val="Malgun Gothic"/>
        <family val="0"/>
        <charset val="1"/>
      </rPr>
      <t xml:space="preserve">Makeup </t>
    </r>
    <r>
      <rPr>
        <b val="true"/>
        <sz val="11"/>
        <color rgb="FFFFFFFF"/>
        <rFont val="Noto Sans CJK SC"/>
        <family val="2"/>
      </rPr>
      <t xml:space="preserve">키워드</t>
    </r>
  </si>
  <si>
    <t xml:space="preserve">🧪 다이소 구조화 설문</t>
  </si>
  <si>
    <t xml:space="preserve">질문</t>
  </si>
  <si>
    <t xml:space="preserve">항목</t>
  </si>
  <si>
    <t xml:space="preserve">선택</t>
  </si>
  <si>
    <t xml:space="preserve">응답자</t>
  </si>
  <si>
    <t xml:space="preserve">비율</t>
  </si>
  <si>
    <r>
      <rPr>
        <sz val="10"/>
        <rFont val="Noto Sans CJK SC"/>
        <family val="2"/>
      </rPr>
      <t xml:space="preserve">어떤 피부타입에 추천하나요</t>
    </r>
    <r>
      <rPr>
        <sz val="10"/>
        <rFont val="Malgun Gothic"/>
        <family val="0"/>
        <charset val="1"/>
      </rPr>
      <t xml:space="preserve">?</t>
    </r>
  </si>
  <si>
    <t xml:space="preserve">피부타입</t>
  </si>
  <si>
    <t xml:space="preserve">건성</t>
  </si>
  <si>
    <t xml:space="preserve">중성</t>
  </si>
  <si>
    <t xml:space="preserve">지성</t>
  </si>
  <si>
    <t xml:space="preserve">민감성</t>
  </si>
  <si>
    <r>
      <rPr>
        <sz val="10"/>
        <rFont val="Noto Sans CJK SC"/>
        <family val="2"/>
      </rPr>
      <t xml:space="preserve">보습력은 마음에 드나요</t>
    </r>
    <r>
      <rPr>
        <sz val="10"/>
        <rFont val="Malgun Gothic"/>
        <family val="0"/>
        <charset val="1"/>
      </rPr>
      <t xml:space="preserve">?</t>
    </r>
  </si>
  <si>
    <t xml:space="preserve">보습력</t>
  </si>
  <si>
    <t xml:space="preserve">촉촉해요</t>
  </si>
  <si>
    <t xml:space="preserve">보통이에요</t>
  </si>
  <si>
    <t xml:space="preserve">약간 건조해요</t>
  </si>
  <si>
    <r>
      <rPr>
        <sz val="10"/>
        <rFont val="Noto Sans CJK SC"/>
        <family val="2"/>
      </rPr>
      <t xml:space="preserve">자극은 괜찮나요</t>
    </r>
    <r>
      <rPr>
        <sz val="10"/>
        <rFont val="Malgun Gothic"/>
        <family val="0"/>
        <charset val="1"/>
      </rPr>
      <t xml:space="preserve">?</t>
    </r>
  </si>
  <si>
    <t xml:space="preserve">자극도</t>
  </si>
  <si>
    <t xml:space="preserve">순해요</t>
  </si>
  <si>
    <t xml:space="preserve">자극이 있어요</t>
  </si>
  <si>
    <r>
      <rPr>
        <sz val="10"/>
        <rFont val="Noto Sans CJK SC"/>
        <family val="2"/>
      </rPr>
      <t xml:space="preserve">향은 마음에 드나요</t>
    </r>
    <r>
      <rPr>
        <sz val="10"/>
        <rFont val="Malgun Gothic"/>
        <family val="0"/>
        <charset val="1"/>
      </rPr>
      <t xml:space="preserve">?</t>
    </r>
  </si>
  <si>
    <t xml:space="preserve">향</t>
  </si>
  <si>
    <t xml:space="preserve">마음에 들어요</t>
  </si>
  <si>
    <t xml:space="preserve">아주 마음에 들어요</t>
  </si>
  <si>
    <t xml:space="preserve">마음에 들지 않아요</t>
  </si>
  <si>
    <r>
      <rPr>
        <b val="true"/>
        <sz val="12"/>
        <color rgb="FF6B5B4F"/>
        <rFont val="Noto Sans CJK SC"/>
        <family val="2"/>
      </rPr>
      <t xml:space="preserve">😍 만족 키워드 </t>
    </r>
    <r>
      <rPr>
        <b val="true"/>
        <sz val="12"/>
        <color rgb="FF6B5B4F"/>
        <rFont val="Malgun Gothic"/>
        <family val="0"/>
        <charset val="1"/>
      </rPr>
      <t xml:space="preserve">(★5 </t>
    </r>
    <r>
      <rPr>
        <b val="true"/>
        <sz val="12"/>
        <color rgb="FF6B5B4F"/>
        <rFont val="Noto Sans CJK SC"/>
        <family val="2"/>
      </rPr>
      <t xml:space="preserve">과다 출현</t>
    </r>
    <r>
      <rPr>
        <b val="true"/>
        <sz val="12"/>
        <color rgb="FF6B5B4F"/>
        <rFont val="Malgun Gothic"/>
        <family val="0"/>
        <charset val="1"/>
      </rPr>
      <t xml:space="preserve">)</t>
    </r>
  </si>
  <si>
    <t xml:space="preserve">키워드</t>
  </si>
  <si>
    <t xml:space="preserve">카테고리</t>
  </si>
  <si>
    <t xml:space="preserve">총 언급</t>
  </si>
  <si>
    <t xml:space="preserve">긍정‰</t>
  </si>
  <si>
    <t xml:space="preserve">부정‰</t>
  </si>
  <si>
    <t xml:space="preserve">일반</t>
  </si>
  <si>
    <t xml:space="preserve">🔬 스킨케어</t>
  </si>
  <si>
    <r>
      <rPr>
        <b val="true"/>
        <sz val="10"/>
        <rFont val="Noto Sans CJK SC"/>
        <family val="2"/>
      </rPr>
      <t xml:space="preserve">메이크업</t>
    </r>
    <r>
      <rPr>
        <b val="true"/>
        <sz val="10"/>
        <rFont val="Malgun Gothic"/>
        <family val="0"/>
        <charset val="1"/>
      </rPr>
      <t xml:space="preserve">_</t>
    </r>
    <r>
      <rPr>
        <b val="true"/>
        <sz val="10"/>
        <rFont val="Noto Sans CJK SC"/>
        <family val="2"/>
      </rPr>
      <t xml:space="preserve">전</t>
    </r>
  </si>
  <si>
    <t xml:space="preserve">💄 메이크업</t>
  </si>
  <si>
    <t xml:space="preserve">유명</t>
  </si>
  <si>
    <t xml:space="preserve">얼굴</t>
  </si>
  <si>
    <t xml:space="preserve">감사</t>
  </si>
  <si>
    <t xml:space="preserve">편하다</t>
  </si>
  <si>
    <t xml:space="preserve">요즘</t>
  </si>
  <si>
    <t xml:space="preserve">😟 불만 패턴</t>
  </si>
  <si>
    <t xml:space="preserve">패턴</t>
  </si>
  <si>
    <t xml:space="preserve">건수</t>
  </si>
  <si>
    <r>
      <rPr>
        <b val="true"/>
        <sz val="11"/>
        <color rgb="FFFFFFFF"/>
        <rFont val="Noto Sans CJK SC"/>
        <family val="2"/>
      </rPr>
      <t xml:space="preserve">리뷰 대비 </t>
    </r>
    <r>
      <rPr>
        <b val="true"/>
        <sz val="11"/>
        <color rgb="FFFFFFFF"/>
        <rFont val="Malgun Gothic"/>
        <family val="0"/>
        <charset val="1"/>
      </rPr>
      <t xml:space="preserve">%</t>
    </r>
  </si>
  <si>
    <r>
      <rPr>
        <b val="true"/>
        <sz val="12"/>
        <color rgb="FF6B5B4F"/>
        <rFont val="Noto Sans CJK SC"/>
        <family val="2"/>
      </rPr>
      <t xml:space="preserve">🔍 유입</t>
    </r>
    <r>
      <rPr>
        <b val="true"/>
        <sz val="12"/>
        <color rgb="FF6B5B4F"/>
        <rFont val="Malgun Gothic"/>
        <family val="0"/>
        <charset val="1"/>
      </rPr>
      <t xml:space="preserve">·</t>
    </r>
    <r>
      <rPr>
        <b val="true"/>
        <sz val="12"/>
        <color rgb="FF6B5B4F"/>
        <rFont val="Noto Sans CJK SC"/>
        <family val="2"/>
      </rPr>
      <t xml:space="preserve">인지 경로</t>
    </r>
  </si>
  <si>
    <r>
      <rPr>
        <b val="true"/>
        <sz val="11"/>
        <color rgb="FFFFFFFF"/>
        <rFont val="Noto Sans CJK SC"/>
        <family val="2"/>
      </rPr>
      <t xml:space="preserve">경로</t>
    </r>
    <r>
      <rPr>
        <b val="true"/>
        <sz val="11"/>
        <color rgb="FFFFFFFF"/>
        <rFont val="Malgun Gothic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동기</t>
    </r>
  </si>
  <si>
    <r>
      <rPr>
        <b val="true"/>
        <sz val="12"/>
        <color rgb="FF6B5B4F"/>
        <rFont val="Noto Sans CJK SC"/>
        <family val="2"/>
      </rPr>
      <t xml:space="preserve">💬 저평점 리뷰 샘플 </t>
    </r>
    <r>
      <rPr>
        <b val="true"/>
        <sz val="12"/>
        <color rgb="FF6B5B4F"/>
        <rFont val="Malgun Gothic"/>
        <family val="0"/>
        <charset val="1"/>
      </rPr>
      <t xml:space="preserve">(★1~3)</t>
    </r>
  </si>
  <si>
    <t xml:space="preserve">★3</t>
  </si>
  <si>
    <r>
      <rPr>
        <sz val="9"/>
        <rFont val="Noto Sans CJK SC"/>
        <family val="2"/>
      </rPr>
      <t xml:space="preserve">저는 지성 피부고 생각보다 그렇게 촉촉하지 않습니다 많은 기대를 하면 안되는 제품</t>
    </r>
    <r>
      <rPr>
        <sz val="9"/>
        <rFont val="Malgun Gothic"/>
        <family val="0"/>
        <charset val="1"/>
      </rPr>
      <t xml:space="preserve">..</t>
    </r>
  </si>
  <si>
    <r>
      <rPr>
        <sz val="9"/>
        <rFont val="Noto Sans CJK SC"/>
        <family val="2"/>
      </rPr>
      <t xml:space="preserve">물광 효과는 좋지만 트러블이 좀 생기더라구요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매일 바르는것 보다 화장에 힘 주고싶은날 사용해요</t>
    </r>
  </si>
  <si>
    <t xml:space="preserve">용기가 끝까지 나오지 않아서 항상 아쉬으ㅏ요</t>
  </si>
  <si>
    <t xml:space="preserve">사람들이 엄청 추천하길래 사봤는데 딱히 좋지도 나쁘지도 않아요</t>
  </si>
  <si>
    <r>
      <rPr>
        <b val="true"/>
        <sz val="14"/>
        <color rgb="FF2C2C2C"/>
        <rFont val="Noto Sans CJK SC"/>
        <family val="2"/>
      </rPr>
      <t xml:space="preserve">더랩 바이 블랑두 클리어 히알 물광 부스터 앰플 </t>
    </r>
    <r>
      <rPr>
        <b val="true"/>
        <sz val="14"/>
        <color rgb="FF2C2C2C"/>
        <rFont val="Malgun Gothic"/>
        <family val="0"/>
        <charset val="1"/>
      </rPr>
      <t xml:space="preserve">30 ml</t>
    </r>
  </si>
  <si>
    <r>
      <rPr>
        <i val="true"/>
        <sz val="10"/>
        <color rgb="FF888888"/>
        <rFont val="Malgun Gothic"/>
        <family val="0"/>
        <charset val="1"/>
      </rPr>
      <t xml:space="preserve">pdNo 1060644  ·  ★4.8  ·  </t>
    </r>
    <r>
      <rPr>
        <i val="true"/>
        <sz val="10"/>
        <color rgb="FF888888"/>
        <rFont val="Noto Sans CJK SC"/>
        <family val="2"/>
      </rPr>
      <t xml:space="preserve">리뷰 </t>
    </r>
    <r>
      <rPr>
        <i val="true"/>
        <sz val="10"/>
        <color rgb="FF888888"/>
        <rFont val="Malgun Gothic"/>
        <family val="0"/>
        <charset val="1"/>
      </rPr>
      <t xml:space="preserve">2,654</t>
    </r>
    <r>
      <rPr>
        <i val="true"/>
        <sz val="10"/>
        <color rgb="FF888888"/>
        <rFont val="Noto Sans CJK SC"/>
        <family val="2"/>
      </rPr>
      <t xml:space="preserve">건  </t>
    </r>
    <r>
      <rPr>
        <i val="true"/>
        <sz val="10"/>
        <color rgb="FF888888"/>
        <rFont val="Malgun Gothic"/>
        <family val="0"/>
        <charset val="1"/>
      </rPr>
      <t xml:space="preserve">·  </t>
    </r>
    <r>
      <rPr>
        <i val="true"/>
        <sz val="10"/>
        <color rgb="FF888888"/>
        <rFont val="Noto Sans CJK SC"/>
        <family val="2"/>
      </rPr>
      <t xml:space="preserve">메이크업 비중 </t>
    </r>
    <r>
      <rPr>
        <i val="true"/>
        <sz val="10"/>
        <color rgb="FF888888"/>
        <rFont val="Malgun Gothic"/>
        <family val="0"/>
        <charset val="1"/>
      </rPr>
      <t xml:space="preserve">15.9%</t>
    </r>
  </si>
  <si>
    <r>
      <rPr>
        <b val="true"/>
        <sz val="10"/>
        <rFont val="Noto Sans CJK SC"/>
        <family val="2"/>
      </rPr>
      <t xml:space="preserve">화장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메이크업</t>
    </r>
    <r>
      <rPr>
        <b val="true"/>
        <sz val="10"/>
        <rFont val="Malgun Gothic"/>
        <family val="0"/>
        <charset val="1"/>
      </rPr>
      <t xml:space="preserve">)</t>
    </r>
  </si>
  <si>
    <t xml:space="preserve">저한테는 안맞나봐요 ㅠㅠ </t>
  </si>
  <si>
    <r>
      <rPr>
        <sz val="9"/>
        <rFont val="Noto Sans CJK SC"/>
        <family val="2"/>
      </rPr>
      <t xml:space="preserve">촉촉하게 발려요</t>
    </r>
    <r>
      <rPr>
        <sz val="9"/>
        <rFont val="Malgun Gothic"/>
        <family val="0"/>
        <charset val="1"/>
      </rPr>
      <t xml:space="preserve">&amp;lt;br&amp;gt;</t>
    </r>
    <r>
      <rPr>
        <sz val="9"/>
        <rFont val="Noto Sans CJK SC"/>
        <family val="2"/>
      </rPr>
      <t xml:space="preserve">꾸준히 사용해볼께요</t>
    </r>
  </si>
  <si>
    <t xml:space="preserve">★1</t>
  </si>
  <si>
    <t xml:space="preserve">★2</t>
  </si>
  <si>
    <r>
      <rPr>
        <b val="true"/>
        <sz val="14"/>
        <color rgb="FF2C2C2C"/>
        <rFont val="Noto Sans CJK SC"/>
        <family val="2"/>
      </rPr>
      <t xml:space="preserve">더랩바이블랑두 클리어히알결광 스킨핏프렙 </t>
    </r>
    <r>
      <rPr>
        <b val="true"/>
        <sz val="14"/>
        <color rgb="FF2C2C2C"/>
        <rFont val="Malgun Gothic"/>
        <family val="0"/>
        <charset val="1"/>
      </rPr>
      <t xml:space="preserve">40 ml</t>
    </r>
  </si>
  <si>
    <r>
      <rPr>
        <i val="true"/>
        <sz val="10"/>
        <color rgb="FF888888"/>
        <rFont val="Malgun Gothic"/>
        <family val="0"/>
        <charset val="1"/>
      </rPr>
      <t xml:space="preserve">pdNo 1073406  ·  ★4.8  ·  </t>
    </r>
    <r>
      <rPr>
        <i val="true"/>
        <sz val="10"/>
        <color rgb="FF888888"/>
        <rFont val="Noto Sans CJK SC"/>
        <family val="2"/>
      </rPr>
      <t xml:space="preserve">리뷰 </t>
    </r>
    <r>
      <rPr>
        <i val="true"/>
        <sz val="10"/>
        <color rgb="FF888888"/>
        <rFont val="Malgun Gothic"/>
        <family val="0"/>
        <charset val="1"/>
      </rPr>
      <t xml:space="preserve">904</t>
    </r>
    <r>
      <rPr>
        <i val="true"/>
        <sz val="10"/>
        <color rgb="FF888888"/>
        <rFont val="Noto Sans CJK SC"/>
        <family val="2"/>
      </rPr>
      <t xml:space="preserve">건  </t>
    </r>
    <r>
      <rPr>
        <i val="true"/>
        <sz val="10"/>
        <color rgb="FF888888"/>
        <rFont val="Malgun Gothic"/>
        <family val="0"/>
        <charset val="1"/>
      </rPr>
      <t xml:space="preserve">·  </t>
    </r>
    <r>
      <rPr>
        <i val="true"/>
        <sz val="10"/>
        <color rgb="FF888888"/>
        <rFont val="Noto Sans CJK SC"/>
        <family val="2"/>
      </rPr>
      <t xml:space="preserve">메이크업 비중 </t>
    </r>
    <r>
      <rPr>
        <i val="true"/>
        <sz val="10"/>
        <color rgb="FF888888"/>
        <rFont val="Malgun Gothic"/>
        <family val="0"/>
        <charset val="1"/>
      </rPr>
      <t xml:space="preserve">35.6%</t>
    </r>
  </si>
  <si>
    <t xml:space="preserve">지속력</t>
  </si>
  <si>
    <t xml:space="preserve">베이스프렙</t>
  </si>
  <si>
    <r>
      <rPr>
        <sz val="10"/>
        <rFont val="Noto Sans CJK SC"/>
        <family val="2"/>
      </rPr>
      <t xml:space="preserve">사용 후에도 촉촉한가요</t>
    </r>
    <r>
      <rPr>
        <sz val="10"/>
        <rFont val="Malgun Gothic"/>
        <family val="0"/>
        <charset val="1"/>
      </rPr>
      <t xml:space="preserve">?</t>
    </r>
  </si>
  <si>
    <t xml:space="preserve">촉촉함</t>
  </si>
  <si>
    <t xml:space="preserve">품절</t>
  </si>
  <si>
    <t xml:space="preserve">기초</t>
  </si>
  <si>
    <t xml:space="preserve">리뷰 좋고 유명해서 구매해요</t>
  </si>
  <si>
    <r>
      <rPr>
        <sz val="9"/>
        <rFont val="Noto Sans CJK SC"/>
        <family val="2"/>
      </rPr>
      <t xml:space="preserve">히알인데</t>
    </r>
    <r>
      <rPr>
        <sz val="9"/>
        <rFont val="Malgun Gothic"/>
        <family val="0"/>
        <charset val="1"/>
      </rPr>
      <t xml:space="preserve">..</t>
    </r>
    <r>
      <rPr>
        <sz val="9"/>
        <rFont val="Noto Sans CJK SC"/>
        <family val="2"/>
      </rPr>
      <t xml:space="preserve">촉촉 윤광</t>
    </r>
    <r>
      <rPr>
        <sz val="9"/>
        <rFont val="Malgun Gothic"/>
        <family val="0"/>
        <charset val="1"/>
      </rPr>
      <t xml:space="preserve">..</t>
    </r>
    <r>
      <rPr>
        <sz val="9"/>
        <rFont val="Noto Sans CJK SC"/>
        <family val="2"/>
      </rPr>
      <t xml:space="preserve">어쩌고</t>
    </r>
    <r>
      <rPr>
        <sz val="9"/>
        <rFont val="Malgun Gothic"/>
        <family val="0"/>
        <charset val="1"/>
      </rPr>
      <t xml:space="preserve">..</t>
    </r>
    <r>
      <rPr>
        <sz val="9"/>
        <rFont val="Noto Sans CJK SC"/>
        <family val="2"/>
      </rPr>
      <t xml:space="preserve">전혀 모르겠어요 건성도 아닌데 얼굴에 올리면 꽤나 건조한 편 </t>
    </r>
  </si>
  <si>
    <r>
      <rPr>
        <sz val="9"/>
        <rFont val="Noto Sans CJK SC"/>
        <family val="2"/>
      </rPr>
      <t xml:space="preserve">상품은 좋은데 배송 제발</t>
    </r>
    <r>
      <rPr>
        <sz val="9"/>
        <rFont val="Malgun Gothic"/>
        <family val="0"/>
        <charset val="1"/>
      </rPr>
      <t xml:space="preserve">&amp;lt;br&amp;gt;</t>
    </r>
    <r>
      <rPr>
        <sz val="9"/>
        <rFont val="Noto Sans CJK SC"/>
        <family val="2"/>
      </rPr>
      <t xml:space="preserve">아니 저희 집이 ○○</t>
    </r>
    <r>
      <rPr>
        <sz val="9"/>
        <rFont val="Malgun Gothic"/>
        <family val="0"/>
        <charset val="1"/>
      </rPr>
      <t xml:space="preserve">7</t>
    </r>
    <r>
      <rPr>
        <sz val="9"/>
        <rFont val="Noto Sans CJK SC"/>
        <family val="2"/>
      </rPr>
      <t xml:space="preserve">동인데 </t>
    </r>
    <r>
      <rPr>
        <sz val="9"/>
        <rFont val="Malgun Gothic"/>
        <family val="0"/>
        <charset val="1"/>
      </rPr>
      <t xml:space="preserve">7</t>
    </r>
    <r>
      <rPr>
        <sz val="9"/>
        <rFont val="Noto Sans CJK SC"/>
        <family val="2"/>
      </rPr>
      <t xml:space="preserve">을 어떻게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로 보고 늘 거기다가 갔다놓죠</t>
    </r>
    <r>
      <rPr>
        <sz val="9"/>
        <rFont val="Malgun Gothic"/>
        <family val="0"/>
        <charset val="1"/>
      </rPr>
      <t xml:space="preserve">?? </t>
    </r>
    <r>
      <rPr>
        <sz val="9"/>
        <rFont val="Noto Sans CJK SC"/>
        <family val="2"/>
      </rPr>
      <t xml:space="preserve">이제부터 한진은 이용안해야겠어요</t>
    </r>
    <r>
      <rPr>
        <sz val="9"/>
        <rFont val="Malgun Gothic"/>
        <family val="0"/>
        <charset val="1"/>
      </rPr>
      <t xml:space="preserve">...</t>
    </r>
    <r>
      <rPr>
        <sz val="9"/>
        <rFont val="Noto Sans CJK SC"/>
        <family val="2"/>
      </rPr>
      <t xml:space="preserve">ㅋㅋ </t>
    </r>
    <r>
      <rPr>
        <sz val="9"/>
        <rFont val="Malgun Gothic"/>
        <family val="0"/>
        <charset val="1"/>
      </rPr>
      <t xml:space="preserve">+ </t>
    </r>
    <r>
      <rPr>
        <sz val="9"/>
        <rFont val="Noto Sans CJK SC"/>
        <family val="2"/>
      </rPr>
      <t xml:space="preserve">제품은 개좋아요</t>
    </r>
  </si>
  <si>
    <t xml:space="preserve">건조해지는 느낌이에요</t>
  </si>
  <si>
    <r>
      <rPr>
        <b val="true"/>
        <sz val="14"/>
        <color rgb="FF2C2C2C"/>
        <rFont val="Noto Sans CJK SC"/>
        <family val="2"/>
      </rPr>
      <t xml:space="preserve">더랩 바이 블랑두 클리어 히알 물광 틴티드 커버 크림 </t>
    </r>
    <r>
      <rPr>
        <b val="true"/>
        <sz val="14"/>
        <color rgb="FF2C2C2C"/>
        <rFont val="Malgun Gothic"/>
        <family val="0"/>
        <charset val="1"/>
      </rPr>
      <t xml:space="preserve">40 ml</t>
    </r>
  </si>
  <si>
    <r>
      <rPr>
        <i val="true"/>
        <sz val="10"/>
        <color rgb="FF888888"/>
        <rFont val="Malgun Gothic"/>
        <family val="0"/>
        <charset val="1"/>
      </rPr>
      <t xml:space="preserve">pdNo 1060646  ·  ★4.6  ·  </t>
    </r>
    <r>
      <rPr>
        <i val="true"/>
        <sz val="10"/>
        <color rgb="FF888888"/>
        <rFont val="Noto Sans CJK SC"/>
        <family val="2"/>
      </rPr>
      <t xml:space="preserve">리뷰 </t>
    </r>
    <r>
      <rPr>
        <i val="true"/>
        <sz val="10"/>
        <color rgb="FF888888"/>
        <rFont val="Malgun Gothic"/>
        <family val="0"/>
        <charset val="1"/>
      </rPr>
      <t xml:space="preserve">847</t>
    </r>
    <r>
      <rPr>
        <i val="true"/>
        <sz val="10"/>
        <color rgb="FF888888"/>
        <rFont val="Noto Sans CJK SC"/>
        <family val="2"/>
      </rPr>
      <t xml:space="preserve">건  </t>
    </r>
    <r>
      <rPr>
        <i val="true"/>
        <sz val="10"/>
        <color rgb="FF888888"/>
        <rFont val="Malgun Gothic"/>
        <family val="0"/>
        <charset val="1"/>
      </rPr>
      <t xml:space="preserve">·  </t>
    </r>
    <r>
      <rPr>
        <i val="true"/>
        <sz val="10"/>
        <color rgb="FF888888"/>
        <rFont val="Noto Sans CJK SC"/>
        <family val="2"/>
      </rPr>
      <t xml:space="preserve">메이크업 비중 </t>
    </r>
    <r>
      <rPr>
        <i val="true"/>
        <sz val="10"/>
        <color rgb="FF888888"/>
        <rFont val="Malgun Gothic"/>
        <family val="0"/>
        <charset val="1"/>
      </rPr>
      <t xml:space="preserve">51.2%</t>
    </r>
  </si>
  <si>
    <t xml:space="preserve">모공</t>
  </si>
  <si>
    <t xml:space="preserve">커버크림</t>
  </si>
  <si>
    <t xml:space="preserve">홍조</t>
  </si>
  <si>
    <t xml:space="preserve">파데프리</t>
  </si>
  <si>
    <t xml:space="preserve">정도</t>
  </si>
  <si>
    <t xml:space="preserve">화장품</t>
  </si>
  <si>
    <r>
      <rPr>
        <sz val="9"/>
        <rFont val="Noto Sans CJK SC"/>
        <family val="2"/>
      </rPr>
      <t xml:space="preserve">안써봐서 모르겠어여</t>
    </r>
    <r>
      <rPr>
        <sz val="9"/>
        <rFont val="Malgun Gothic"/>
        <family val="0"/>
        <charset val="1"/>
      </rPr>
      <t xml:space="preserve">&amp;nbsp;</t>
    </r>
  </si>
  <si>
    <r>
      <rPr>
        <sz val="9"/>
        <rFont val="Noto Sans CJK SC"/>
        <family val="2"/>
      </rPr>
      <t xml:space="preserve">물광처럼 많이 촉촉하진 않은것 같아요</t>
    </r>
    <r>
      <rPr>
        <sz val="9"/>
        <rFont val="Malgun Gothic"/>
        <family val="0"/>
        <charset val="1"/>
      </rPr>
      <t xml:space="preserve">.</t>
    </r>
  </si>
  <si>
    <r>
      <rPr>
        <b val="true"/>
        <sz val="14"/>
        <color rgb="FF2C2C2C"/>
        <rFont val="Noto Sans CJK SC"/>
        <family val="2"/>
      </rPr>
      <t xml:space="preserve">더랩 바이 블랑두 클리어 히알 물광 토너 </t>
    </r>
    <r>
      <rPr>
        <b val="true"/>
        <sz val="14"/>
        <color rgb="FF2C2C2C"/>
        <rFont val="Malgun Gothic"/>
        <family val="0"/>
        <charset val="1"/>
      </rPr>
      <t xml:space="preserve">150 ml</t>
    </r>
  </si>
  <si>
    <r>
      <rPr>
        <i val="true"/>
        <sz val="10"/>
        <color rgb="FF888888"/>
        <rFont val="Malgun Gothic"/>
        <family val="0"/>
        <charset val="1"/>
      </rPr>
      <t xml:space="preserve">pdNo 1060643  ·  ★4.7  ·  </t>
    </r>
    <r>
      <rPr>
        <i val="true"/>
        <sz val="10"/>
        <color rgb="FF888888"/>
        <rFont val="Noto Sans CJK SC"/>
        <family val="2"/>
      </rPr>
      <t xml:space="preserve">리뷰 </t>
    </r>
    <r>
      <rPr>
        <i val="true"/>
        <sz val="10"/>
        <color rgb="FF888888"/>
        <rFont val="Malgun Gothic"/>
        <family val="0"/>
        <charset val="1"/>
      </rPr>
      <t xml:space="preserve">625</t>
    </r>
    <r>
      <rPr>
        <i val="true"/>
        <sz val="10"/>
        <color rgb="FF888888"/>
        <rFont val="Noto Sans CJK SC"/>
        <family val="2"/>
      </rPr>
      <t xml:space="preserve">건  </t>
    </r>
    <r>
      <rPr>
        <i val="true"/>
        <sz val="10"/>
        <color rgb="FF888888"/>
        <rFont val="Malgun Gothic"/>
        <family val="0"/>
        <charset val="1"/>
      </rPr>
      <t xml:space="preserve">·  </t>
    </r>
    <r>
      <rPr>
        <i val="true"/>
        <sz val="10"/>
        <color rgb="FF888888"/>
        <rFont val="Noto Sans CJK SC"/>
        <family val="2"/>
      </rPr>
      <t xml:space="preserve">메이크업 비중 </t>
    </r>
    <r>
      <rPr>
        <i val="true"/>
        <sz val="10"/>
        <color rgb="FF888888"/>
        <rFont val="Malgun Gothic"/>
        <family val="0"/>
        <charset val="1"/>
      </rPr>
      <t xml:space="preserve">6.0%</t>
    </r>
  </si>
  <si>
    <t xml:space="preserve">미스트</t>
  </si>
  <si>
    <t xml:space="preserve">분사</t>
  </si>
  <si>
    <t xml:space="preserve">용량</t>
  </si>
  <si>
    <t xml:space="preserve">패드</t>
  </si>
  <si>
    <t xml:space="preserve">안개</t>
  </si>
  <si>
    <r>
      <rPr>
        <sz val="9"/>
        <rFont val="Noto Sans CJK SC"/>
        <family val="2"/>
      </rPr>
      <t xml:space="preserve">저랑은 안맞네요 각질제거 성분 </t>
    </r>
    <r>
      <rPr>
        <sz val="9"/>
        <rFont val="Malgun Gothic"/>
        <family val="0"/>
        <charset val="1"/>
      </rPr>
      <t xml:space="preserve">pha</t>
    </r>
    <r>
      <rPr>
        <sz val="9"/>
        <rFont val="Noto Sans CJK SC"/>
        <family val="2"/>
      </rPr>
      <t xml:space="preserve">가 저에겐 쥐약 얼굴에 붉은꽃 피고 며칠째 고생 중 ㅠㅠㅠ</t>
    </r>
  </si>
  <si>
    <t xml:space="preserve">Goooooooooooood</t>
  </si>
  <si>
    <r>
      <rPr>
        <sz val="9"/>
        <rFont val="Noto Sans CJK SC"/>
        <family val="2"/>
      </rPr>
      <t xml:space="preserve">생각보다 건조함</t>
    </r>
    <r>
      <rPr>
        <sz val="9"/>
        <rFont val="Malgun Gothic"/>
        <family val="0"/>
        <charset val="1"/>
      </rPr>
      <t xml:space="preserve">&amp;nbsp;&amp;lt;br&amp;gt;</t>
    </r>
    <r>
      <rPr>
        <sz val="9"/>
        <rFont val="Noto Sans CJK SC"/>
        <family val="2"/>
      </rPr>
      <t xml:space="preserve">순함</t>
    </r>
    <r>
      <rPr>
        <sz val="9"/>
        <rFont val="Malgun Gothic"/>
        <family val="0"/>
        <charset val="1"/>
      </rPr>
      <t xml:space="preserve">&amp;nbsp;</t>
    </r>
  </si>
  <si>
    <r>
      <rPr>
        <sz val="9"/>
        <rFont val="Noto Sans CJK SC"/>
        <family val="2"/>
      </rPr>
      <t xml:space="preserve">매일 그런 건 아니지만 가끔 얼굴 화끈거릴 때가 있었어요</t>
    </r>
    <r>
      <rPr>
        <sz val="9"/>
        <rFont val="Malgun Gothic"/>
        <family val="0"/>
        <charset val="1"/>
      </rPr>
      <t xml:space="preserve">&amp;nbsp;&amp;lt;br&amp;gt;</t>
    </r>
  </si>
  <si>
    <r>
      <rPr>
        <sz val="9"/>
        <rFont val="Noto Sans CJK SC"/>
        <family val="2"/>
      </rPr>
      <t xml:space="preserve">이건 그닥 좋은지 모르겠어요 </t>
    </r>
    <r>
      <rPr>
        <sz val="9"/>
        <rFont val="Malgun Gothic"/>
        <family val="0"/>
        <charset val="1"/>
      </rPr>
      <t xml:space="preserve">'</t>
    </r>
    <r>
      <rPr>
        <sz val="9"/>
        <rFont val="Noto Sans CJK SC"/>
        <family val="2"/>
      </rPr>
      <t xml:space="preserve">솔직히</t>
    </r>
    <r>
      <rPr>
        <sz val="9"/>
        <rFont val="Malgun Gothic"/>
        <family val="0"/>
        <charset val="1"/>
      </rPr>
      <t xml:space="preserve">' </t>
    </r>
    <r>
      <rPr>
        <sz val="9"/>
        <rFont val="Noto Sans CJK SC"/>
        <family val="2"/>
      </rPr>
      <t xml:space="preserve">유튜브 보고 구매한건데</t>
    </r>
    <r>
      <rPr>
        <sz val="9"/>
        <rFont val="Malgun Gothic"/>
        <family val="0"/>
        <charset val="1"/>
      </rPr>
      <t xml:space="preserve">'</t>
    </r>
    <r>
      <rPr>
        <sz val="9"/>
        <rFont val="Noto Sans CJK SC"/>
        <family val="2"/>
      </rPr>
      <t xml:space="preserve">그냥 일반 토너 같아요</t>
    </r>
  </si>
  <si>
    <r>
      <rPr>
        <b val="true"/>
        <sz val="14"/>
        <color rgb="FF2C2C2C"/>
        <rFont val="Noto Sans CJK SC"/>
        <family val="2"/>
      </rPr>
      <t xml:space="preserve">더랩바이블랑두 클리어히알결광 세럼미스트 </t>
    </r>
    <r>
      <rPr>
        <b val="true"/>
        <sz val="14"/>
        <color rgb="FF2C2C2C"/>
        <rFont val="Malgun Gothic"/>
        <family val="0"/>
        <charset val="1"/>
      </rPr>
      <t xml:space="preserve">150 ml</t>
    </r>
  </si>
  <si>
    <r>
      <rPr>
        <i val="true"/>
        <sz val="10"/>
        <color rgb="FF888888"/>
        <rFont val="Malgun Gothic"/>
        <family val="0"/>
        <charset val="1"/>
      </rPr>
      <t xml:space="preserve">pdNo 1073405  ·  ★4.7  ·  </t>
    </r>
    <r>
      <rPr>
        <i val="true"/>
        <sz val="10"/>
        <color rgb="FF888888"/>
        <rFont val="Noto Sans CJK SC"/>
        <family val="2"/>
      </rPr>
      <t xml:space="preserve">리뷰 </t>
    </r>
    <r>
      <rPr>
        <i val="true"/>
        <sz val="10"/>
        <color rgb="FF888888"/>
        <rFont val="Malgun Gothic"/>
        <family val="0"/>
        <charset val="1"/>
      </rPr>
      <t xml:space="preserve">427</t>
    </r>
    <r>
      <rPr>
        <i val="true"/>
        <sz val="10"/>
        <color rgb="FF888888"/>
        <rFont val="Noto Sans CJK SC"/>
        <family val="2"/>
      </rPr>
      <t xml:space="preserve">건  </t>
    </r>
    <r>
      <rPr>
        <i val="true"/>
        <sz val="10"/>
        <color rgb="FF888888"/>
        <rFont val="Malgun Gothic"/>
        <family val="0"/>
        <charset val="1"/>
      </rPr>
      <t xml:space="preserve">·  </t>
    </r>
    <r>
      <rPr>
        <i val="true"/>
        <sz val="10"/>
        <color rgb="FF888888"/>
        <rFont val="Noto Sans CJK SC"/>
        <family val="2"/>
      </rPr>
      <t xml:space="preserve">메이크업 비중 </t>
    </r>
    <r>
      <rPr>
        <i val="true"/>
        <sz val="10"/>
        <color rgb="FF888888"/>
        <rFont val="Malgun Gothic"/>
        <family val="0"/>
        <charset val="1"/>
      </rPr>
      <t xml:space="preserve">13.1%</t>
    </r>
  </si>
  <si>
    <r>
      <rPr>
        <sz val="9"/>
        <rFont val="Noto Sans CJK SC"/>
        <family val="2"/>
      </rPr>
      <t xml:space="preserve">향 ㅂㄹ예요 초딩때 쓰던 로드샵 동물 케이스 미스트 냄새 나요</t>
    </r>
    <r>
      <rPr>
        <sz val="9"/>
        <rFont val="Malgun Gothic"/>
        <family val="0"/>
        <charset val="1"/>
      </rPr>
      <t xml:space="preserve">&amp;lt;br&amp;gt;</t>
    </r>
    <r>
      <rPr>
        <sz val="9"/>
        <rFont val="Noto Sans CJK SC"/>
        <family val="2"/>
      </rPr>
      <t xml:space="preserve">자극</t>
    </r>
    <r>
      <rPr>
        <sz val="9"/>
        <rFont val="Malgun Gothic"/>
        <family val="0"/>
        <charset val="1"/>
      </rPr>
      <t xml:space="preserve">0 </t>
    </r>
    <r>
      <rPr>
        <sz val="9"/>
        <rFont val="Noto Sans CJK SC"/>
        <family val="2"/>
      </rPr>
      <t xml:space="preserve">아님 분사력은 아주 좋음</t>
    </r>
    <r>
      <rPr>
        <sz val="9"/>
        <rFont val="Malgun Gothic"/>
        <family val="0"/>
        <charset val="1"/>
      </rPr>
      <t xml:space="preserve">!&amp;lt;br&amp;gt;</t>
    </r>
  </si>
  <si>
    <r>
      <rPr>
        <sz val="9"/>
        <rFont val="Noto Sans CJK SC"/>
        <family val="2"/>
      </rPr>
      <t xml:space="preserve">다른 미스트사는 게 더 좋을 것 같아요 여기 제품 다이소 입점 전부터 좋아했고 입점 후에는 수분크림 잘쓰고 있는데 이건 솔직히 별로네욤 </t>
    </r>
    <r>
      <rPr>
        <sz val="9"/>
        <rFont val="Malgun Gothic"/>
        <family val="0"/>
        <charset val="1"/>
      </rPr>
      <t xml:space="preserve">&amp;bull; &amp;bull; &amp;nbsp;</t>
    </r>
    <r>
      <rPr>
        <sz val="9"/>
        <rFont val="Noto Sans CJK SC"/>
        <family val="2"/>
      </rPr>
      <t xml:space="preserve">세럼 미스트인데도 수분감 보습감 다 그닥 못느끼겠어요 재구매 안할 것 같습니다</t>
    </r>
    <r>
      <rPr>
        <sz val="9"/>
        <rFont val="Malgun Gothic"/>
        <family val="0"/>
        <charset val="1"/>
      </rPr>
      <t xml:space="preserve">~~@.@</t>
    </r>
  </si>
  <si>
    <t xml:space="preserve">광은 솔직히 잘 모르겠어요 욕실에 놔두고 생각날 때 한번씩 사용중이요</t>
  </si>
  <si>
    <r>
      <rPr>
        <sz val="9"/>
        <rFont val="Noto Sans CJK SC"/>
        <family val="2"/>
      </rPr>
      <t xml:space="preserve">자극없이 쓰는 편이에요</t>
    </r>
    <r>
      <rPr>
        <sz val="9"/>
        <rFont val="Malgun Gothic"/>
        <family val="0"/>
        <charset val="1"/>
      </rPr>
      <t xml:space="preserve">.</t>
    </r>
    <r>
      <rPr>
        <sz val="9"/>
        <rFont val="Noto Sans CJK SC"/>
        <family val="2"/>
      </rPr>
      <t xml:space="preserve">처음 사용시에는 보습력이 좋다고 생각 하였는데 쓸 수록 많이 건조 해서 레어링 하는데도 건조함이 있네요</t>
    </r>
    <r>
      <rPr>
        <sz val="9"/>
        <rFont val="Malgun Gothic"/>
        <family val="0"/>
        <charset val="1"/>
      </rPr>
      <t xml:space="preserve">.</t>
    </r>
  </si>
  <si>
    <r>
      <rPr>
        <b val="true"/>
        <sz val="14"/>
        <color rgb="FF2C2C2C"/>
        <rFont val="Noto Sans CJK SC"/>
        <family val="2"/>
      </rPr>
      <t xml:space="preserve">더랩바이블랑두 클리어히알결광 겔마스크 </t>
    </r>
    <r>
      <rPr>
        <b val="true"/>
        <sz val="14"/>
        <color rgb="FF2C2C2C"/>
        <rFont val="Malgun Gothic"/>
        <family val="0"/>
        <charset val="1"/>
      </rPr>
      <t xml:space="preserve">1</t>
    </r>
    <r>
      <rPr>
        <b val="true"/>
        <sz val="14"/>
        <color rgb="FF2C2C2C"/>
        <rFont val="Noto Sans CJK SC"/>
        <family val="2"/>
      </rPr>
      <t xml:space="preserve">매 </t>
    </r>
    <r>
      <rPr>
        <b val="true"/>
        <sz val="14"/>
        <color rgb="FF2C2C2C"/>
        <rFont val="Malgun Gothic"/>
        <family val="0"/>
        <charset val="1"/>
      </rPr>
      <t xml:space="preserve">25 g</t>
    </r>
  </si>
  <si>
    <r>
      <rPr>
        <i val="true"/>
        <sz val="10"/>
        <color rgb="FF888888"/>
        <rFont val="Malgun Gothic"/>
        <family val="0"/>
        <charset val="1"/>
      </rPr>
      <t xml:space="preserve">pdNo 1073409  ·  ★4.9  ·  </t>
    </r>
    <r>
      <rPr>
        <i val="true"/>
        <sz val="10"/>
        <color rgb="FF888888"/>
        <rFont val="Noto Sans CJK SC"/>
        <family val="2"/>
      </rPr>
      <t xml:space="preserve">리뷰 </t>
    </r>
    <r>
      <rPr>
        <i val="true"/>
        <sz val="10"/>
        <color rgb="FF888888"/>
        <rFont val="Malgun Gothic"/>
        <family val="0"/>
        <charset val="1"/>
      </rPr>
      <t xml:space="preserve">419</t>
    </r>
    <r>
      <rPr>
        <i val="true"/>
        <sz val="10"/>
        <color rgb="FF888888"/>
        <rFont val="Noto Sans CJK SC"/>
        <family val="2"/>
      </rPr>
      <t xml:space="preserve">건  </t>
    </r>
    <r>
      <rPr>
        <i val="true"/>
        <sz val="10"/>
        <color rgb="FF888888"/>
        <rFont val="Malgun Gothic"/>
        <family val="0"/>
        <charset val="1"/>
      </rPr>
      <t xml:space="preserve">·  </t>
    </r>
    <r>
      <rPr>
        <i val="true"/>
        <sz val="10"/>
        <color rgb="FF888888"/>
        <rFont val="Noto Sans CJK SC"/>
        <family val="2"/>
      </rPr>
      <t xml:space="preserve">메이크업 비중 </t>
    </r>
    <r>
      <rPr>
        <i val="true"/>
        <sz val="10"/>
        <color rgb="FF888888"/>
        <rFont val="Malgun Gothic"/>
        <family val="0"/>
        <charset val="1"/>
      </rPr>
      <t xml:space="preserve">6.2%</t>
    </r>
  </si>
  <si>
    <t xml:space="preserve">겔마스크</t>
  </si>
  <si>
    <t xml:space="preserve">피부결</t>
  </si>
  <si>
    <r>
      <rPr>
        <sz val="10"/>
        <rFont val="Noto Sans CJK SC"/>
        <family val="2"/>
      </rPr>
      <t xml:space="preserve">사용에 어려움은 없나요</t>
    </r>
    <r>
      <rPr>
        <sz val="10"/>
        <rFont val="Malgun Gothic"/>
        <family val="0"/>
        <charset val="1"/>
      </rPr>
      <t xml:space="preserve">?</t>
    </r>
  </si>
  <si>
    <t xml:space="preserve">편리함</t>
  </si>
  <si>
    <t xml:space="preserve">사용하기 편리해요</t>
  </si>
  <si>
    <t xml:space="preserve">사용하기 불편해요</t>
  </si>
  <si>
    <t xml:space="preserve">저렴하다</t>
  </si>
  <si>
    <r>
      <rPr>
        <sz val="9"/>
        <rFont val="Noto Sans CJK SC"/>
        <family val="2"/>
      </rPr>
      <t xml:space="preserve">크림 제품을 잘써서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팩으로도 사서 써보았습니다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그런데 팩은 저와 맞지 않은 지 빨갛게 뭔가가 올라오네요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수분감 자체는 좋아서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처음에는 이 제품이 원인이라고 생각 못하고 재구매하여 사용하였는데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똑같이 나타나서 이 제품이 저와 맞지 않는 것 같습니다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수분감과 마스크의 재질 자체는 좋습니다</t>
    </r>
    <r>
      <rPr>
        <sz val="9"/>
        <rFont val="Malgun Gothic"/>
        <family val="0"/>
        <charset val="1"/>
      </rPr>
      <t xml:space="preserve">. </t>
    </r>
  </si>
  <si>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장 썼는데</t>
    </r>
    <r>
      <rPr>
        <sz val="9"/>
        <rFont val="Malgun Gothic"/>
        <family val="0"/>
        <charset val="1"/>
      </rPr>
      <t xml:space="preserve">&amp;lt;br&amp;gt;</t>
    </r>
    <r>
      <rPr>
        <sz val="9"/>
        <rFont val="Noto Sans CJK SC"/>
        <family val="2"/>
      </rPr>
      <t xml:space="preserve">오 생각보다 건조해서 좀 놀람</t>
    </r>
  </si>
  <si>
    <r>
      <rPr>
        <sz val="9"/>
        <rFont val="Noto Sans CJK SC"/>
        <family val="2"/>
      </rPr>
      <t xml:space="preserve">제품은 만족하는데 배송이 너무 아쉬워요ㅠ 다른 제품들과 함께 주문했는데 해당 제품의 포장지가 찍혀서 포장지 안에 에센스가 세서 왔어요</t>
    </r>
    <r>
      <rPr>
        <sz val="9"/>
        <rFont val="Malgun Gothic"/>
        <family val="0"/>
        <charset val="1"/>
      </rPr>
      <t xml:space="preserve">.. </t>
    </r>
    <r>
      <rPr>
        <sz val="9"/>
        <rFont val="Noto Sans CJK SC"/>
        <family val="2"/>
      </rPr>
      <t xml:space="preserve">포장도 신경써주시면 좋을 것 같아요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</si>
  <si>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솔직히 시트팩과 다른 점을 모르겠네요</t>
    </r>
    <r>
      <rPr>
        <sz val="9"/>
        <rFont val="Malgun Gothic"/>
        <family val="0"/>
        <charset val="1"/>
      </rPr>
      <t xml:space="preserve">&amp;lt;br&amp;gt;</t>
    </r>
    <r>
      <rPr>
        <sz val="9"/>
        <rFont val="Noto Sans CJK SC"/>
        <family val="2"/>
      </rPr>
      <t xml:space="preserve">걍 촉촉한 시트팩 쓴 느낌이라 같아요</t>
    </r>
  </si>
  <si>
    <r>
      <rPr>
        <b val="true"/>
        <sz val="14"/>
        <color rgb="FF2C2C2C"/>
        <rFont val="Noto Sans CJK SC"/>
        <family val="2"/>
      </rPr>
      <t xml:space="preserve">더랩 바이 블랑두 클리어 히알 물광 토너 패드 </t>
    </r>
    <r>
      <rPr>
        <b val="true"/>
        <sz val="14"/>
        <color rgb="FF2C2C2C"/>
        <rFont val="Malgun Gothic"/>
        <family val="0"/>
        <charset val="1"/>
      </rPr>
      <t xml:space="preserve">4</t>
    </r>
    <r>
      <rPr>
        <b val="true"/>
        <sz val="14"/>
        <color rgb="FF2C2C2C"/>
        <rFont val="Noto Sans CJK SC"/>
        <family val="2"/>
      </rPr>
      <t xml:space="preserve">매입</t>
    </r>
  </si>
  <si>
    <r>
      <rPr>
        <i val="true"/>
        <sz val="10"/>
        <color rgb="FF888888"/>
        <rFont val="Malgun Gothic"/>
        <family val="0"/>
        <charset val="1"/>
      </rPr>
      <t xml:space="preserve">pdNo 1060642  ·  ★4.8  ·  </t>
    </r>
    <r>
      <rPr>
        <i val="true"/>
        <sz val="10"/>
        <color rgb="FF888888"/>
        <rFont val="Noto Sans CJK SC"/>
        <family val="2"/>
      </rPr>
      <t xml:space="preserve">리뷰 </t>
    </r>
    <r>
      <rPr>
        <i val="true"/>
        <sz val="10"/>
        <color rgb="FF888888"/>
        <rFont val="Malgun Gothic"/>
        <family val="0"/>
        <charset val="1"/>
      </rPr>
      <t xml:space="preserve">329</t>
    </r>
    <r>
      <rPr>
        <i val="true"/>
        <sz val="10"/>
        <color rgb="FF888888"/>
        <rFont val="Noto Sans CJK SC"/>
        <family val="2"/>
      </rPr>
      <t xml:space="preserve">건  </t>
    </r>
    <r>
      <rPr>
        <i val="true"/>
        <sz val="10"/>
        <color rgb="FF888888"/>
        <rFont val="Malgun Gothic"/>
        <family val="0"/>
        <charset val="1"/>
      </rPr>
      <t xml:space="preserve">·  </t>
    </r>
    <r>
      <rPr>
        <i val="true"/>
        <sz val="10"/>
        <color rgb="FF888888"/>
        <rFont val="Noto Sans CJK SC"/>
        <family val="2"/>
      </rPr>
      <t xml:space="preserve">메이크업 비중 </t>
    </r>
    <r>
      <rPr>
        <i val="true"/>
        <sz val="10"/>
        <color rgb="FF888888"/>
        <rFont val="Malgun Gothic"/>
        <family val="0"/>
        <charset val="1"/>
      </rPr>
      <t xml:space="preserve">22.8%</t>
    </r>
  </si>
  <si>
    <t xml:space="preserve">때토너</t>
  </si>
  <si>
    <t xml:space="preserve">여행</t>
  </si>
  <si>
    <t xml:space="preserve">수정</t>
  </si>
  <si>
    <t xml:space="preserve">수정화장</t>
  </si>
  <si>
    <t xml:space="preserve">무난해요 재구매는 안할듯</t>
  </si>
  <si>
    <t xml:space="preserve">조아요 조아요 조아요 </t>
  </si>
  <si>
    <t xml:space="preserve">휴대하기 좋고 잘맞아요</t>
  </si>
  <si>
    <t xml:space="preserve">지퍼백이 되어있어서 휴대하기 편함</t>
  </si>
  <si>
    <r>
      <rPr>
        <sz val="9"/>
        <rFont val="Noto Sans CJK SC"/>
        <family val="2"/>
      </rPr>
      <t xml:space="preserve">사용감은 편합니다</t>
    </r>
    <r>
      <rPr>
        <sz val="9"/>
        <rFont val="Malgun Gothic"/>
        <family val="0"/>
        <charset val="1"/>
      </rPr>
      <t xml:space="preserve">&amp;lt;br&amp;gt;4</t>
    </r>
    <r>
      <rPr>
        <sz val="9"/>
        <rFont val="Noto Sans CJK SC"/>
        <family val="2"/>
      </rPr>
      <t xml:space="preserve">장밖에 안들었더라구요</t>
    </r>
    <r>
      <rPr>
        <sz val="9"/>
        <rFont val="Malgun Gothic"/>
        <family val="0"/>
        <charset val="1"/>
      </rPr>
      <t xml:space="preserve">..</t>
    </r>
    <r>
      <rPr>
        <sz val="9"/>
        <rFont val="Noto Sans CJK SC"/>
        <family val="2"/>
      </rPr>
      <t xml:space="preserve">다시보니 </t>
    </r>
    <r>
      <rPr>
        <sz val="9"/>
        <rFont val="Malgun Gothic"/>
        <family val="0"/>
        <charset val="1"/>
      </rPr>
      <t xml:space="preserve">4</t>
    </r>
    <r>
      <rPr>
        <sz val="9"/>
        <rFont val="Noto Sans CJK SC"/>
        <family val="2"/>
      </rPr>
      <t xml:space="preserve">매라고 써있네요</t>
    </r>
    <r>
      <rPr>
        <sz val="9"/>
        <rFont val="Malgun Gothic"/>
        <family val="0"/>
        <charset val="1"/>
      </rPr>
      <t xml:space="preserve">&amp;lt;br&amp;gt;</t>
    </r>
  </si>
  <si>
    <r>
      <rPr>
        <b val="true"/>
        <sz val="14"/>
        <color rgb="FF2C2C2C"/>
        <rFont val="Noto Sans CJK SC"/>
        <family val="2"/>
      </rPr>
      <t xml:space="preserve">더랩바이블랑두 클리어히알옴므 올인원에멀전 </t>
    </r>
    <r>
      <rPr>
        <b val="true"/>
        <sz val="14"/>
        <color rgb="FF2C2C2C"/>
        <rFont val="Malgun Gothic"/>
        <family val="0"/>
        <charset val="1"/>
      </rPr>
      <t xml:space="preserve">120 ml</t>
    </r>
  </si>
  <si>
    <r>
      <rPr>
        <i val="true"/>
        <sz val="10"/>
        <color rgb="FF888888"/>
        <rFont val="Malgun Gothic"/>
        <family val="0"/>
        <charset val="1"/>
      </rPr>
      <t xml:space="preserve">pdNo 1068780  ·  ★4.8  ·  </t>
    </r>
    <r>
      <rPr>
        <i val="true"/>
        <sz val="10"/>
        <color rgb="FF888888"/>
        <rFont val="Noto Sans CJK SC"/>
        <family val="2"/>
      </rPr>
      <t xml:space="preserve">리뷰 </t>
    </r>
    <r>
      <rPr>
        <i val="true"/>
        <sz val="10"/>
        <color rgb="FF888888"/>
        <rFont val="Malgun Gothic"/>
        <family val="0"/>
        <charset val="1"/>
      </rPr>
      <t xml:space="preserve">182</t>
    </r>
    <r>
      <rPr>
        <i val="true"/>
        <sz val="10"/>
        <color rgb="FF888888"/>
        <rFont val="Noto Sans CJK SC"/>
        <family val="2"/>
      </rPr>
      <t xml:space="preserve">건  </t>
    </r>
    <r>
      <rPr>
        <i val="true"/>
        <sz val="10"/>
        <color rgb="FF888888"/>
        <rFont val="Malgun Gothic"/>
        <family val="0"/>
        <charset val="1"/>
      </rPr>
      <t xml:space="preserve">·  </t>
    </r>
    <r>
      <rPr>
        <i val="true"/>
        <sz val="10"/>
        <color rgb="FF888888"/>
        <rFont val="Noto Sans CJK SC"/>
        <family val="2"/>
      </rPr>
      <t xml:space="preserve">메이크업 비중 </t>
    </r>
    <r>
      <rPr>
        <i val="true"/>
        <sz val="10"/>
        <color rgb="FF888888"/>
        <rFont val="Malgun Gothic"/>
        <family val="0"/>
        <charset val="1"/>
      </rPr>
      <t xml:space="preserve">4.1%</t>
    </r>
  </si>
  <si>
    <t xml:space="preserve">인원</t>
  </si>
  <si>
    <t xml:space="preserve">로션</t>
  </si>
  <si>
    <t xml:space="preserve">남성</t>
  </si>
  <si>
    <t xml:space="preserve">무향에 수분감이 좋아서 재구매했어요</t>
  </si>
  <si>
    <r>
      <rPr>
        <sz val="9"/>
        <rFont val="Noto Sans CJK SC"/>
        <family val="2"/>
      </rPr>
      <t xml:space="preserve">용량이 약간 아쉬웠어요 </t>
    </r>
    <r>
      <rPr>
        <sz val="9"/>
        <rFont val="Malgun Gothic"/>
        <family val="0"/>
        <charset val="1"/>
      </rPr>
      <t xml:space="preserve">~</t>
    </r>
  </si>
  <si>
    <r>
      <rPr>
        <sz val="9"/>
        <rFont val="Noto Sans CJK SC"/>
        <family val="2"/>
      </rPr>
      <t xml:space="preserve">보습력이 있긴 한데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속 건조 있는 분에게는 어울리지 않습니다</t>
    </r>
    <r>
      <rPr>
        <sz val="9"/>
        <rFont val="Malgun Gothic"/>
        <family val="0"/>
        <charset val="1"/>
      </rPr>
      <t xml:space="preserve">.</t>
    </r>
  </si>
  <si>
    <t xml:space="preserve">촉촉한데 향이 무향인듯</t>
  </si>
  <si>
    <r>
      <rPr>
        <b val="true"/>
        <sz val="14"/>
        <color rgb="FF2C2C2C"/>
        <rFont val="Noto Sans CJK SC"/>
        <family val="2"/>
      </rPr>
      <t xml:space="preserve">더랩바이블랑두 클리어히알결광 선에센스 </t>
    </r>
    <r>
      <rPr>
        <b val="true"/>
        <sz val="14"/>
        <color rgb="FF2C2C2C"/>
        <rFont val="Malgun Gothic"/>
        <family val="0"/>
        <charset val="1"/>
      </rPr>
      <t xml:space="preserve">40 ml</t>
    </r>
  </si>
  <si>
    <r>
      <rPr>
        <i val="true"/>
        <sz val="10"/>
        <color rgb="FF888888"/>
        <rFont val="Malgun Gothic"/>
        <family val="0"/>
        <charset val="1"/>
      </rPr>
      <t xml:space="preserve">pdNo 1073408  ·  ★4.7  ·  </t>
    </r>
    <r>
      <rPr>
        <i val="true"/>
        <sz val="10"/>
        <color rgb="FF888888"/>
        <rFont val="Noto Sans CJK SC"/>
        <family val="2"/>
      </rPr>
      <t xml:space="preserve">리뷰 </t>
    </r>
    <r>
      <rPr>
        <i val="true"/>
        <sz val="10"/>
        <color rgb="FF888888"/>
        <rFont val="Malgun Gothic"/>
        <family val="0"/>
        <charset val="1"/>
      </rPr>
      <t xml:space="preserve">168</t>
    </r>
    <r>
      <rPr>
        <i val="true"/>
        <sz val="10"/>
        <color rgb="FF888888"/>
        <rFont val="Noto Sans CJK SC"/>
        <family val="2"/>
      </rPr>
      <t xml:space="preserve">건  </t>
    </r>
    <r>
      <rPr>
        <i val="true"/>
        <sz val="10"/>
        <color rgb="FF888888"/>
        <rFont val="Malgun Gothic"/>
        <family val="0"/>
        <charset val="1"/>
      </rPr>
      <t xml:space="preserve">·  </t>
    </r>
    <r>
      <rPr>
        <i val="true"/>
        <sz val="10"/>
        <color rgb="FF888888"/>
        <rFont val="Noto Sans CJK SC"/>
        <family val="2"/>
      </rPr>
      <t xml:space="preserve">메이크업 비중 </t>
    </r>
    <r>
      <rPr>
        <i val="true"/>
        <sz val="10"/>
        <color rgb="FF888888"/>
        <rFont val="Malgun Gothic"/>
        <family val="0"/>
        <charset val="1"/>
      </rPr>
      <t xml:space="preserve">21.9%</t>
    </r>
  </si>
  <si>
    <t xml:space="preserve">구버전파데에</t>
  </si>
  <si>
    <t xml:space="preserve">썬크림</t>
  </si>
  <si>
    <t xml:space="preserve">에스티 로더구버전파데에</t>
  </si>
  <si>
    <t xml:space="preserve">파데전</t>
  </si>
  <si>
    <r>
      <rPr>
        <sz val="9"/>
        <rFont val="Noto Sans CJK SC"/>
        <family val="2"/>
      </rPr>
      <t xml:space="preserve">지성피부에는 약간 겉도는 느낌이 드네요</t>
    </r>
    <r>
      <rPr>
        <sz val="9"/>
        <rFont val="Malgun Gothic"/>
        <family val="0"/>
        <charset val="1"/>
      </rPr>
      <t xml:space="preserve">&amp;lt;br&amp;gt;</t>
    </r>
  </si>
  <si>
    <r>
      <rPr>
        <sz val="9"/>
        <rFont val="Noto Sans CJK SC"/>
        <family val="2"/>
      </rPr>
      <t xml:space="preserve">음</t>
    </r>
    <r>
      <rPr>
        <sz val="9"/>
        <rFont val="Malgun Gothic"/>
        <family val="0"/>
        <charset val="1"/>
      </rPr>
      <t xml:space="preserve">&amp;hellip; </t>
    </r>
    <r>
      <rPr>
        <sz val="9"/>
        <rFont val="Noto Sans CJK SC"/>
        <family val="2"/>
      </rPr>
      <t xml:space="preserve">데일리로 쓰는 선크림에 왜 아하인지 바하인지를 넣엇냐고 이해안간다는 리뷰봣는데 계속 써보니 알겠네요 바르고잇다가 </t>
    </r>
    <r>
      <rPr>
        <sz val="9"/>
        <rFont val="Malgun Gothic"/>
        <family val="0"/>
        <charset val="1"/>
      </rPr>
      <t xml:space="preserve">5</t>
    </r>
    <r>
      <rPr>
        <sz val="9"/>
        <rFont val="Noto Sans CJK SC"/>
        <family val="2"/>
      </rPr>
      <t xml:space="preserve">시간만 지나도 얼굴이 따가움</t>
    </r>
    <r>
      <rPr>
        <sz val="9"/>
        <rFont val="Malgun Gothic"/>
        <family val="0"/>
        <charset val="1"/>
      </rPr>
      <t xml:space="preserve">&amp;hellip;. </t>
    </r>
    <r>
      <rPr>
        <sz val="9"/>
        <rFont val="Noto Sans CJK SC"/>
        <family val="2"/>
      </rPr>
      <t xml:space="preserve">뭔 생각으로 만든거에여 진짜</t>
    </r>
    <r>
      <rPr>
        <sz val="9"/>
        <rFont val="Malgun Gothic"/>
        <family val="0"/>
        <charset val="1"/>
      </rPr>
      <t xml:space="preserve">? </t>
    </r>
    <r>
      <rPr>
        <sz val="9"/>
        <rFont val="Noto Sans CJK SC"/>
        <family val="2"/>
      </rPr>
      <t xml:space="preserve">강제로 팔이 써야함</t>
    </r>
    <r>
      <rPr>
        <sz val="9"/>
        <rFont val="Malgun Gothic"/>
        <family val="0"/>
        <charset val="1"/>
      </rPr>
      <t xml:space="preserve">&amp;hellip; </t>
    </r>
    <r>
      <rPr>
        <sz val="9"/>
        <rFont val="Noto Sans CJK SC"/>
        <family val="2"/>
      </rPr>
      <t xml:space="preserve">뭐하자는건지</t>
    </r>
    <r>
      <rPr>
        <sz val="9"/>
        <rFont val="Malgun Gothic"/>
        <family val="0"/>
        <charset val="1"/>
      </rPr>
      <t xml:space="preserve">&amp;nbsp;</t>
    </r>
  </si>
  <si>
    <t xml:space="preserve">좋다해서 사봤어요 에스티로더 구버전파데에 괜찮네요</t>
  </si>
  <si>
    <r>
      <rPr>
        <sz val="9"/>
        <rFont val="Noto Sans CJK SC"/>
        <family val="2"/>
      </rPr>
      <t xml:space="preserve">아직 사용 전이라 잘 모르겠습니다</t>
    </r>
    <r>
      <rPr>
        <sz val="9"/>
        <rFont val="Malgun Gothic"/>
        <family val="0"/>
        <charset val="1"/>
      </rPr>
      <t xml:space="preserve">.</t>
    </r>
  </si>
  <si>
    <r>
      <rPr>
        <b val="true"/>
        <sz val="14"/>
        <color rgb="FF2C2C2C"/>
        <rFont val="Noto Sans CJK SC"/>
        <family val="2"/>
      </rPr>
      <t xml:space="preserve">더랩바이블랑두 클리어히알옴므 선크림 </t>
    </r>
    <r>
      <rPr>
        <b val="true"/>
        <sz val="14"/>
        <color rgb="FF2C2C2C"/>
        <rFont val="Malgun Gothic"/>
        <family val="0"/>
        <charset val="1"/>
      </rPr>
      <t xml:space="preserve">35 ml</t>
    </r>
  </si>
  <si>
    <r>
      <rPr>
        <i val="true"/>
        <sz val="10"/>
        <color rgb="FF888888"/>
        <rFont val="Malgun Gothic"/>
        <family val="0"/>
        <charset val="1"/>
      </rPr>
      <t xml:space="preserve">pdNo 1068781  ·  ★4.9  ·  </t>
    </r>
    <r>
      <rPr>
        <i val="true"/>
        <sz val="10"/>
        <color rgb="FF888888"/>
        <rFont val="Noto Sans CJK SC"/>
        <family val="2"/>
      </rPr>
      <t xml:space="preserve">리뷰 </t>
    </r>
    <r>
      <rPr>
        <i val="true"/>
        <sz val="10"/>
        <color rgb="FF888888"/>
        <rFont val="Malgun Gothic"/>
        <family val="0"/>
        <charset val="1"/>
      </rPr>
      <t xml:space="preserve">153</t>
    </r>
    <r>
      <rPr>
        <i val="true"/>
        <sz val="10"/>
        <color rgb="FF888888"/>
        <rFont val="Noto Sans CJK SC"/>
        <family val="2"/>
      </rPr>
      <t xml:space="preserve">건  </t>
    </r>
    <r>
      <rPr>
        <i val="true"/>
        <sz val="10"/>
        <color rgb="FF888888"/>
        <rFont val="Malgun Gothic"/>
        <family val="0"/>
        <charset val="1"/>
      </rPr>
      <t xml:space="preserve">·  </t>
    </r>
    <r>
      <rPr>
        <i val="true"/>
        <sz val="10"/>
        <color rgb="FF888888"/>
        <rFont val="Noto Sans CJK SC"/>
        <family val="2"/>
      </rPr>
      <t xml:space="preserve">메이크업 비중 </t>
    </r>
    <r>
      <rPr>
        <i val="true"/>
        <sz val="10"/>
        <color rgb="FF888888"/>
        <rFont val="Malgun Gothic"/>
        <family val="0"/>
        <charset val="1"/>
      </rPr>
      <t xml:space="preserve">22.7%</t>
    </r>
  </si>
  <si>
    <t xml:space="preserve">자외선</t>
  </si>
  <si>
    <t xml:space="preserve">부담</t>
  </si>
  <si>
    <t xml:space="preserve">현상</t>
  </si>
  <si>
    <t xml:space="preserve">마무리</t>
  </si>
  <si>
    <t xml:space="preserve">눈 시림 좀 있고 백탁 없고 좋아여 다이소 썬기능 제품들 중에 냄새가 제일 좋은거 같아여 좀 촉촉한데 스킨케어 안하고 바르면 좀 얼굴이 따가워요</t>
  </si>
  <si>
    <r>
      <rPr>
        <b val="true"/>
        <sz val="14"/>
        <color rgb="FF2C2C2C"/>
        <rFont val="Noto Sans CJK SC"/>
        <family val="2"/>
      </rPr>
      <t xml:space="preserve">더랩바이블랑두 클리어히알옴므 클렌징폼 </t>
    </r>
    <r>
      <rPr>
        <b val="true"/>
        <sz val="14"/>
        <color rgb="FF2C2C2C"/>
        <rFont val="Malgun Gothic"/>
        <family val="0"/>
        <charset val="1"/>
      </rPr>
      <t xml:space="preserve">120 ml</t>
    </r>
  </si>
  <si>
    <r>
      <rPr>
        <i val="true"/>
        <sz val="10"/>
        <color rgb="FF888888"/>
        <rFont val="Malgun Gothic"/>
        <family val="0"/>
        <charset val="1"/>
      </rPr>
      <t xml:space="preserve">pdNo 1068778  ·  ★4.8  ·  </t>
    </r>
    <r>
      <rPr>
        <i val="true"/>
        <sz val="10"/>
        <color rgb="FF888888"/>
        <rFont val="Noto Sans CJK SC"/>
        <family val="2"/>
      </rPr>
      <t xml:space="preserve">리뷰 </t>
    </r>
    <r>
      <rPr>
        <i val="true"/>
        <sz val="10"/>
        <color rgb="FF888888"/>
        <rFont val="Malgun Gothic"/>
        <family val="0"/>
        <charset val="1"/>
      </rPr>
      <t xml:space="preserve">118</t>
    </r>
    <r>
      <rPr>
        <i val="true"/>
        <sz val="10"/>
        <color rgb="FF888888"/>
        <rFont val="Noto Sans CJK SC"/>
        <family val="2"/>
      </rPr>
      <t xml:space="preserve">건  </t>
    </r>
    <r>
      <rPr>
        <i val="true"/>
        <sz val="10"/>
        <color rgb="FF888888"/>
        <rFont val="Malgun Gothic"/>
        <family val="0"/>
        <charset val="1"/>
      </rPr>
      <t xml:space="preserve">·  </t>
    </r>
    <r>
      <rPr>
        <i val="true"/>
        <sz val="10"/>
        <color rgb="FF888888"/>
        <rFont val="Noto Sans CJK SC"/>
        <family val="2"/>
      </rPr>
      <t xml:space="preserve">메이크업 비중 </t>
    </r>
    <r>
      <rPr>
        <i val="true"/>
        <sz val="10"/>
        <color rgb="FF888888"/>
        <rFont val="Malgun Gothic"/>
        <family val="0"/>
        <charset val="1"/>
      </rPr>
      <t xml:space="preserve">2.4%</t>
    </r>
  </si>
  <si>
    <t xml:space="preserve">세안</t>
  </si>
  <si>
    <t xml:space="preserve">거품</t>
  </si>
  <si>
    <t xml:space="preserve">클렌징</t>
  </si>
  <si>
    <t xml:space="preserve">세정</t>
  </si>
  <si>
    <t xml:space="preserve">세안후</t>
  </si>
  <si>
    <t xml:space="preserve">폼클렌징</t>
  </si>
  <si>
    <r>
      <rPr>
        <sz val="9"/>
        <rFont val="Noto Sans CJK SC"/>
        <family val="2"/>
      </rPr>
      <t xml:space="preserve">진짜 민감성은 별로 추천 안함</t>
    </r>
    <r>
      <rPr>
        <sz val="9"/>
        <rFont val="Malgun Gothic"/>
        <family val="0"/>
        <charset val="1"/>
      </rPr>
      <t xml:space="preserve">...</t>
    </r>
    <r>
      <rPr>
        <sz val="9"/>
        <rFont val="Noto Sans CJK SC"/>
        <family val="2"/>
      </rPr>
      <t xml:space="preserve">냄새 진심 개구림 이게 맞아</t>
    </r>
    <r>
      <rPr>
        <sz val="9"/>
        <rFont val="Malgun Gothic"/>
        <family val="0"/>
        <charset val="1"/>
      </rPr>
      <t xml:space="preserve">...??</t>
    </r>
    <r>
      <rPr>
        <sz val="9"/>
        <rFont val="Noto Sans CJK SC"/>
        <family val="2"/>
      </rPr>
      <t xml:space="preserve">싶을정도로</t>
    </r>
    <r>
      <rPr>
        <sz val="9"/>
        <rFont val="Malgun Gothic"/>
        <family val="0"/>
        <charset val="1"/>
      </rPr>
      <t xml:space="preserve">;;; </t>
    </r>
    <r>
      <rPr>
        <sz val="9"/>
        <rFont val="Noto Sans CJK SC"/>
        <family val="2"/>
      </rPr>
      <t xml:space="preserve">극지성추천</t>
    </r>
  </si>
  <si>
    <r>
      <rPr>
        <b val="true"/>
        <sz val="14"/>
        <color rgb="FF2C2C2C"/>
        <rFont val="Noto Sans CJK SC"/>
        <family val="2"/>
      </rPr>
      <t xml:space="preserve">더랩바이블랑두 클리어히알옴므 토너 </t>
    </r>
    <r>
      <rPr>
        <b val="true"/>
        <sz val="14"/>
        <color rgb="FF2C2C2C"/>
        <rFont val="Malgun Gothic"/>
        <family val="0"/>
        <charset val="1"/>
      </rPr>
      <t xml:space="preserve">200 ml</t>
    </r>
  </si>
  <si>
    <r>
      <rPr>
        <i val="true"/>
        <sz val="10"/>
        <color rgb="FF888888"/>
        <rFont val="Malgun Gothic"/>
        <family val="0"/>
        <charset val="1"/>
      </rPr>
      <t xml:space="preserve">pdNo 1068779  ·  ★4.8  ·  </t>
    </r>
    <r>
      <rPr>
        <i val="true"/>
        <sz val="10"/>
        <color rgb="FF888888"/>
        <rFont val="Noto Sans CJK SC"/>
        <family val="2"/>
      </rPr>
      <t xml:space="preserve">리뷰 </t>
    </r>
    <r>
      <rPr>
        <i val="true"/>
        <sz val="10"/>
        <color rgb="FF888888"/>
        <rFont val="Malgun Gothic"/>
        <family val="0"/>
        <charset val="1"/>
      </rPr>
      <t xml:space="preserve">109</t>
    </r>
    <r>
      <rPr>
        <i val="true"/>
        <sz val="10"/>
        <color rgb="FF888888"/>
        <rFont val="Noto Sans CJK SC"/>
        <family val="2"/>
      </rPr>
      <t xml:space="preserve">건  </t>
    </r>
    <r>
      <rPr>
        <i val="true"/>
        <sz val="10"/>
        <color rgb="FF888888"/>
        <rFont val="Malgun Gothic"/>
        <family val="0"/>
        <charset val="1"/>
      </rPr>
      <t xml:space="preserve">·  </t>
    </r>
    <r>
      <rPr>
        <i val="true"/>
        <sz val="10"/>
        <color rgb="FF888888"/>
        <rFont val="Noto Sans CJK SC"/>
        <family val="2"/>
      </rPr>
      <t xml:space="preserve">메이크업 비중 </t>
    </r>
    <r>
      <rPr>
        <i val="true"/>
        <sz val="10"/>
        <color rgb="FF888888"/>
        <rFont val="Malgun Gothic"/>
        <family val="0"/>
        <charset val="1"/>
      </rPr>
      <t xml:space="preserve">1.7%</t>
    </r>
  </si>
  <si>
    <r>
      <rPr>
        <sz val="9"/>
        <rFont val="Noto Sans CJK SC"/>
        <family val="2"/>
      </rPr>
      <t xml:space="preserve">지인에게 선물했습니다</t>
    </r>
    <r>
      <rPr>
        <sz val="9"/>
        <rFont val="Malgun Gothic"/>
        <family val="0"/>
        <charset val="1"/>
      </rPr>
      <t xml:space="preserve">.&amp;lt;br&amp;gt;</t>
    </r>
  </si>
  <si>
    <r>
      <rPr>
        <sz val="9"/>
        <rFont val="Noto Sans CJK SC"/>
        <family val="2"/>
      </rPr>
      <t xml:space="preserve">이건 뭐지</t>
    </r>
    <r>
      <rPr>
        <sz val="9"/>
        <rFont val="Malgun Gothic"/>
        <family val="0"/>
        <charset val="1"/>
      </rPr>
      <t xml:space="preserve">?&amp;lt;br&amp;gt;</t>
    </r>
    <r>
      <rPr>
        <sz val="9"/>
        <rFont val="Noto Sans CJK SC"/>
        <family val="2"/>
      </rPr>
      <t xml:space="preserve">향도 없고 농도도 그냥 맹물같아요</t>
    </r>
    <r>
      <rPr>
        <sz val="9"/>
        <rFont val="Malgun Gothic"/>
        <family val="0"/>
        <charset val="1"/>
      </rPr>
      <t xml:space="preserve">.&amp;lt;br&amp;gt;</t>
    </r>
    <r>
      <rPr>
        <sz val="9"/>
        <rFont val="Noto Sans CJK SC"/>
        <family val="2"/>
      </rPr>
      <t xml:space="preserve">덧바르면 더 촉촉하다고 써있는데 </t>
    </r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번이상 덧발라도 완전 뽀송뽀송합니다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당기진 않아요</t>
    </r>
    <r>
      <rPr>
        <sz val="9"/>
        <rFont val="Malgun Gothic"/>
        <family val="0"/>
        <charset val="1"/>
      </rPr>
      <t xml:space="preserve">.&amp;lt;br&amp;gt;</t>
    </r>
    <r>
      <rPr>
        <sz val="9"/>
        <rFont val="Noto Sans CJK SC"/>
        <family val="2"/>
      </rPr>
      <t xml:space="preserve">마데카 미스트토너도 같이 샀는데 이게 오히려 훠</t>
    </r>
    <r>
      <rPr>
        <sz val="9"/>
        <rFont val="Malgun Gothic"/>
        <family val="0"/>
        <charset val="1"/>
      </rPr>
      <t xml:space="preserve">~</t>
    </r>
    <r>
      <rPr>
        <sz val="9"/>
        <rFont val="Noto Sans CJK SC"/>
        <family val="2"/>
      </rPr>
      <t xml:space="preserve">ㄹ씬 촉촉합니다</t>
    </r>
    <r>
      <rPr>
        <sz val="9"/>
        <rFont val="Malgun Gothic"/>
        <family val="0"/>
        <charset val="1"/>
      </rPr>
      <t xml:space="preserve">.&amp;lt;br&amp;gt;</t>
    </r>
    <r>
      <rPr>
        <sz val="9"/>
        <rFont val="Noto Sans CJK SC"/>
        <family val="2"/>
      </rPr>
      <t xml:space="preserve">마데카꺼 다 쓰면 그통에다가 이게 채워서 그냥 미스트로나 써야겠어요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추천은 못할것 같습니다</t>
    </r>
    <r>
      <rPr>
        <sz val="9"/>
        <rFont val="Malgun Gothic"/>
        <family val="0"/>
        <charset val="1"/>
      </rPr>
      <t xml:space="preserve">.</t>
    </r>
  </si>
  <si>
    <t xml:space="preserve">처음주문해봐서 중간평점 </t>
  </si>
  <si>
    <r>
      <rPr>
        <b val="true"/>
        <sz val="14"/>
        <color rgb="FF2C2C2C"/>
        <rFont val="Noto Sans CJK SC"/>
        <family val="2"/>
      </rPr>
      <t xml:space="preserve">더랩바이블랑두 클리어히알옴므 톤 커버크림 </t>
    </r>
    <r>
      <rPr>
        <b val="true"/>
        <sz val="14"/>
        <color rgb="FF2C2C2C"/>
        <rFont val="Malgun Gothic"/>
        <family val="0"/>
        <charset val="1"/>
      </rPr>
      <t xml:space="preserve">30 ml</t>
    </r>
  </si>
  <si>
    <r>
      <rPr>
        <i val="true"/>
        <sz val="10"/>
        <color rgb="FF888888"/>
        <rFont val="Malgun Gothic"/>
        <family val="0"/>
        <charset val="1"/>
      </rPr>
      <t xml:space="preserve">pdNo 1068782  ·  ★4.8  ·  </t>
    </r>
    <r>
      <rPr>
        <i val="true"/>
        <sz val="10"/>
        <color rgb="FF888888"/>
        <rFont val="Noto Sans CJK SC"/>
        <family val="2"/>
      </rPr>
      <t xml:space="preserve">리뷰 </t>
    </r>
    <r>
      <rPr>
        <i val="true"/>
        <sz val="10"/>
        <color rgb="FF888888"/>
        <rFont val="Malgun Gothic"/>
        <family val="0"/>
        <charset val="1"/>
      </rPr>
      <t xml:space="preserve">100</t>
    </r>
    <r>
      <rPr>
        <i val="true"/>
        <sz val="10"/>
        <color rgb="FF888888"/>
        <rFont val="Noto Sans CJK SC"/>
        <family val="2"/>
      </rPr>
      <t xml:space="preserve">건  </t>
    </r>
    <r>
      <rPr>
        <i val="true"/>
        <sz val="10"/>
        <color rgb="FF888888"/>
        <rFont val="Malgun Gothic"/>
        <family val="0"/>
        <charset val="1"/>
      </rPr>
      <t xml:space="preserve">·  </t>
    </r>
    <r>
      <rPr>
        <i val="true"/>
        <sz val="10"/>
        <color rgb="FF888888"/>
        <rFont val="Noto Sans CJK SC"/>
        <family val="2"/>
      </rPr>
      <t xml:space="preserve">메이크업 비중 </t>
    </r>
    <r>
      <rPr>
        <i val="true"/>
        <sz val="10"/>
        <color rgb="FF888888"/>
        <rFont val="Malgun Gothic"/>
        <family val="0"/>
        <charset val="1"/>
      </rPr>
      <t xml:space="preserve">39.7%</t>
    </r>
  </si>
  <si>
    <t xml:space="preserve">정도커버</t>
  </si>
  <si>
    <t xml:space="preserve">보정</t>
  </si>
  <si>
    <t xml:space="preserve">데일리</t>
  </si>
  <si>
    <t xml:space="preserve">톤보정</t>
  </si>
  <si>
    <r>
      <rPr>
        <sz val="9"/>
        <rFont val="Noto Sans CJK SC"/>
        <family val="2"/>
      </rPr>
      <t xml:space="preserve">사용후 건조한편이고 톤보정도 약하고 썬크림으로 쓰자니도 좀 부족하고</t>
    </r>
    <r>
      <rPr>
        <sz val="9"/>
        <rFont val="Malgun Gothic"/>
        <family val="0"/>
        <charset val="1"/>
      </rPr>
      <t xml:space="preserve">... </t>
    </r>
    <r>
      <rPr>
        <sz val="9"/>
        <rFont val="Noto Sans CJK SC"/>
        <family val="2"/>
      </rPr>
      <t xml:space="preserve">여로모로 손이 잘 안가는제품</t>
    </r>
    <r>
      <rPr>
        <sz val="9"/>
        <rFont val="Malgun Gothic"/>
        <family val="0"/>
        <charset val="1"/>
      </rPr>
      <t xml:space="preserve">..</t>
    </r>
  </si>
  <si>
    <t xml:space="preserve">이도 저도 아니에요</t>
  </si>
  <si>
    <r>
      <rPr>
        <sz val="9"/>
        <rFont val="Noto Sans CJK SC"/>
        <family val="2"/>
      </rPr>
      <t xml:space="preserve">조금 번들거리는듯 합니다</t>
    </r>
    <r>
      <rPr>
        <sz val="9"/>
        <rFont val="Malgun Gothic"/>
        <family val="0"/>
        <charset val="1"/>
      </rPr>
      <t xml:space="preserve">. </t>
    </r>
  </si>
  <si>
    <t xml:space="preserve">히부키 화장한거같다해야하나 저한테는 안 맞아요</t>
  </si>
  <si>
    <r>
      <rPr>
        <b val="true"/>
        <sz val="14"/>
        <color rgb="FF2C2C2C"/>
        <rFont val="Noto Sans CJK SC"/>
        <family val="2"/>
      </rPr>
      <t xml:space="preserve">더랩바이블랑두 클리어히알결광 젤클렌저 </t>
    </r>
    <r>
      <rPr>
        <b val="true"/>
        <sz val="14"/>
        <color rgb="FF2C2C2C"/>
        <rFont val="Malgun Gothic"/>
        <family val="0"/>
        <charset val="1"/>
      </rPr>
      <t xml:space="preserve">100 g</t>
    </r>
  </si>
  <si>
    <r>
      <rPr>
        <i val="true"/>
        <sz val="10"/>
        <color rgb="FF888888"/>
        <rFont val="Malgun Gothic"/>
        <family val="0"/>
        <charset val="1"/>
      </rPr>
      <t xml:space="preserve">pdNo 1073407  ·  ★4.8  ·  </t>
    </r>
    <r>
      <rPr>
        <i val="true"/>
        <sz val="10"/>
        <color rgb="FF888888"/>
        <rFont val="Noto Sans CJK SC"/>
        <family val="2"/>
      </rPr>
      <t xml:space="preserve">리뷰 </t>
    </r>
    <r>
      <rPr>
        <i val="true"/>
        <sz val="10"/>
        <color rgb="FF888888"/>
        <rFont val="Malgun Gothic"/>
        <family val="0"/>
        <charset val="1"/>
      </rPr>
      <t xml:space="preserve">93</t>
    </r>
    <r>
      <rPr>
        <i val="true"/>
        <sz val="10"/>
        <color rgb="FF888888"/>
        <rFont val="Noto Sans CJK SC"/>
        <family val="2"/>
      </rPr>
      <t xml:space="preserve">건  </t>
    </r>
    <r>
      <rPr>
        <i val="true"/>
        <sz val="10"/>
        <color rgb="FF888888"/>
        <rFont val="Malgun Gothic"/>
        <family val="0"/>
        <charset val="1"/>
      </rPr>
      <t xml:space="preserve">·  </t>
    </r>
    <r>
      <rPr>
        <i val="true"/>
        <sz val="10"/>
        <color rgb="FF888888"/>
        <rFont val="Noto Sans CJK SC"/>
        <family val="2"/>
      </rPr>
      <t xml:space="preserve">메이크업 비중 </t>
    </r>
    <r>
      <rPr>
        <i val="true"/>
        <sz val="10"/>
        <color rgb="FF888888"/>
        <rFont val="Malgun Gothic"/>
        <family val="0"/>
        <charset val="1"/>
      </rPr>
      <t xml:space="preserve">9.3%</t>
    </r>
  </si>
  <si>
    <r>
      <rPr>
        <sz val="10"/>
        <rFont val="Noto Sans CJK SC"/>
        <family val="2"/>
      </rPr>
      <t xml:space="preserve">세정력은 어느정도인가요</t>
    </r>
    <r>
      <rPr>
        <sz val="10"/>
        <rFont val="Malgun Gothic"/>
        <family val="0"/>
        <charset val="1"/>
      </rPr>
      <t xml:space="preserve">?</t>
    </r>
  </si>
  <si>
    <t xml:space="preserve">세정력</t>
  </si>
  <si>
    <t xml:space="preserve">좋아요</t>
  </si>
  <si>
    <t xml:space="preserve">아쉬워요</t>
  </si>
  <si>
    <t xml:space="preserve">아침세안</t>
  </si>
  <si>
    <r>
      <rPr>
        <sz val="9"/>
        <rFont val="Noto Sans CJK SC"/>
        <family val="2"/>
      </rPr>
      <t xml:space="preserve">괜찮았으면 좋겠음</t>
    </r>
    <r>
      <rPr>
        <sz val="9"/>
        <rFont val="Malgun Gothic"/>
        <family val="0"/>
        <charset val="1"/>
      </rPr>
      <t xml:space="preserve">. </t>
    </r>
  </si>
  <si>
    <t xml:space="preserve">아 이건 리뷰어들 말처럼 아침세안옹 또는 썬크림만바른외출후 세안시에 사용해야할듯 </t>
  </si>
  <si>
    <r>
      <rPr>
        <sz val="9"/>
        <rFont val="Noto Sans CJK SC"/>
        <family val="2"/>
      </rPr>
      <t xml:space="preserve">우연히 다이소몰 둘러보다가 발견템 </t>
    </r>
    <r>
      <rPr>
        <sz val="9"/>
        <rFont val="Malgun Gothic"/>
        <family val="0"/>
        <charset val="1"/>
      </rPr>
      <t xml:space="preserve">!! &amp;lt;br&amp;gt;&amp;lt;br&amp;gt;</t>
    </r>
    <r>
      <rPr>
        <sz val="9"/>
        <rFont val="Noto Sans CJK SC"/>
        <family val="2"/>
      </rPr>
      <t xml:space="preserve">닥터지 꽤 좋은 겔 약산성 클렌징 폼을 </t>
    </r>
    <r>
      <rPr>
        <sz val="9"/>
        <rFont val="Malgun Gothic"/>
        <family val="0"/>
        <charset val="1"/>
      </rPr>
      <t xml:space="preserve">&amp;lt;br&amp;gt;&amp;lt;br&amp;gt;10</t>
    </r>
    <r>
      <rPr>
        <sz val="9"/>
        <rFont val="Noto Sans CJK SC"/>
        <family val="2"/>
      </rPr>
      <t xml:space="preserve">년이상 사용중인데</t>
    </r>
    <r>
      <rPr>
        <sz val="9"/>
        <rFont val="Malgun Gothic"/>
        <family val="0"/>
        <charset val="1"/>
      </rPr>
      <t xml:space="preserve">,&amp;lt;br&amp;gt;&amp;lt;br&amp;gt;</t>
    </r>
    <r>
      <rPr>
        <sz val="9"/>
        <rFont val="Noto Sans CJK SC"/>
        <family val="2"/>
      </rPr>
      <t xml:space="preserve">겔 제품이라 주문 완료 </t>
    </r>
    <r>
      <rPr>
        <sz val="9"/>
        <rFont val="Malgun Gothic"/>
        <family val="0"/>
        <charset val="1"/>
      </rPr>
      <t xml:space="preserve">!! &amp;lt;br&amp;gt;&amp;lt;br&amp;gt;</t>
    </r>
    <r>
      <rPr>
        <sz val="9"/>
        <rFont val="Noto Sans CJK SC"/>
        <family val="2"/>
      </rPr>
      <t xml:space="preserve">처음 사용할 땐 거품이 적어서 다소 실망했는데</t>
    </r>
    <r>
      <rPr>
        <sz val="9"/>
        <rFont val="Malgun Gothic"/>
        <family val="0"/>
        <charset val="1"/>
      </rPr>
      <t xml:space="preserve">, &amp;lt;br&amp;gt;&amp;lt;br&amp;gt;</t>
    </r>
    <r>
      <rPr>
        <sz val="9"/>
        <rFont val="Noto Sans CJK SC"/>
        <family val="2"/>
      </rPr>
      <t xml:space="preserve">두번째 사용해보니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거품도 괜찮았고 사용하기 무난했음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</si>
  <si>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순하긴한데 거품이 많이 안나서 두 세번 더 쓰게 되네요</t>
    </r>
    <r>
      <rPr>
        <sz val="9"/>
        <rFont val="Malgun Gothic"/>
        <family val="0"/>
        <charset val="1"/>
      </rPr>
      <t xml:space="preserve">....</t>
    </r>
    <r>
      <rPr>
        <sz val="9"/>
        <rFont val="Noto Sans CJK SC"/>
        <family val="2"/>
      </rPr>
      <t xml:space="preserve">재구매는 안할듯</t>
    </r>
    <r>
      <rPr>
        <sz val="9"/>
        <rFont val="Malgun Gothic"/>
        <family val="0"/>
        <charset val="1"/>
      </rPr>
      <t xml:space="preserve">...</t>
    </r>
  </si>
  <si>
    <t xml:space="preserve">세면후 미끄덩 합니다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</si>
</sst>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0"/>
    <numFmt numFmtId="168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C2C"/>
      <name val="Noto Sans CJK SC"/>
      <family val="2"/>
    </font>
    <font>
      <b val="true"/>
      <sz val="16"/>
      <color rgb="FF2C2C2C"/>
      <name val="Malgun Gothic"/>
      <family val="0"/>
      <charset val="1"/>
    </font>
    <font>
      <i val="true"/>
      <sz val="10"/>
      <color rgb="FF888888"/>
      <name val="Malgun Gothic"/>
      <family val="0"/>
      <charset val="1"/>
    </font>
    <font>
      <i val="true"/>
      <sz val="10"/>
      <color rgb="FF888888"/>
      <name val="Noto Sans CJK SC"/>
      <family val="2"/>
    </font>
    <font>
      <b val="true"/>
      <sz val="12"/>
      <color rgb="FF6B5B4F"/>
      <name val="Noto Sans CJK SC"/>
      <family val="2"/>
    </font>
    <font>
      <b val="true"/>
      <sz val="12"/>
      <color rgb="FF6B5B4F"/>
      <name val="Malgun Gothic"/>
      <family val="0"/>
      <charset val="1"/>
    </font>
    <font>
      <b val="true"/>
      <sz val="11"/>
      <color rgb="FFFFFFFF"/>
      <name val="Malgun Gothic"/>
      <family val="0"/>
      <charset val="1"/>
    </font>
    <font>
      <b val="true"/>
      <sz val="11"/>
      <color rgb="FFFFFFFF"/>
      <name val="Noto Sans CJK SC"/>
      <family val="2"/>
    </font>
    <font>
      <sz val="10"/>
      <name val="Malgun Gothic"/>
      <family val="0"/>
      <charset val="1"/>
    </font>
    <font>
      <sz val="10"/>
      <name val="Noto Sans CJK SC"/>
      <family val="2"/>
    </font>
    <font>
      <b val="true"/>
      <sz val="10"/>
      <name val="Malgun Gothic"/>
      <family val="0"/>
      <charset val="1"/>
    </font>
    <font>
      <b val="true"/>
      <sz val="10"/>
      <name val="Noto Sans CJK SC"/>
      <family val="2"/>
    </font>
    <font>
      <b val="true"/>
      <sz val="14"/>
      <color rgb="FF2C2C2C"/>
      <name val="Noto Sans CJK SC"/>
      <family val="2"/>
    </font>
    <font>
      <b val="true"/>
      <sz val="14"/>
      <color rgb="FF2C2C2C"/>
      <name val="Malgun Gothic"/>
      <family val="0"/>
      <charset val="1"/>
    </font>
    <font>
      <i val="true"/>
      <sz val="10"/>
      <color rgb="FF6B5B4F"/>
      <name val="Noto Sans CJK SC"/>
      <family val="2"/>
    </font>
    <font>
      <i val="true"/>
      <sz val="10"/>
      <color rgb="FF6B5B4F"/>
      <name val="Malgun Gothic"/>
      <family val="0"/>
      <charset val="1"/>
    </font>
    <font>
      <b val="true"/>
      <sz val="11"/>
      <color rgb="FF2C2C2C"/>
      <name val="Malgun Gothic"/>
      <family val="0"/>
      <charset val="1"/>
    </font>
    <font>
      <b val="true"/>
      <sz val="11"/>
      <color rgb="FFA8433A"/>
      <name val="Malgun Gothic"/>
      <family val="0"/>
      <charset val="1"/>
    </font>
    <font>
      <b val="true"/>
      <sz val="10"/>
      <color rgb="FFC94A4A"/>
      <name val="Malgun Gothic"/>
      <family val="0"/>
      <charset val="1"/>
    </font>
    <font>
      <sz val="9"/>
      <name val="Noto Sans CJK SC"/>
      <family val="2"/>
    </font>
    <font>
      <sz val="9"/>
      <name val="Malgun Gothic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2C2C"/>
        <bgColor rgb="FF333300"/>
      </patternFill>
    </fill>
    <fill>
      <patternFill patternType="solid">
        <fgColor rgb="FFF5EFE7"/>
        <bgColor rgb="FFDFE8EF"/>
      </patternFill>
    </fill>
    <fill>
      <patternFill patternType="solid">
        <fgColor rgb="FFF2DCE2"/>
        <bgColor rgb="FFDDDDDD"/>
      </patternFill>
    </fill>
    <fill>
      <patternFill patternType="solid">
        <fgColor rgb="FFD4C5B0"/>
        <bgColor rgb="FFDDDDDD"/>
      </patternFill>
    </fill>
    <fill>
      <patternFill patternType="solid">
        <fgColor rgb="FFDFE8EF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C5B0"/>
      <rgbColor rgb="FF888888"/>
      <rgbColor rgb="FF9999FF"/>
      <rgbColor rgb="FFA8433A"/>
      <rgbColor rgb="FFF5EFE7"/>
      <rgbColor rgb="FFDFE8E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E2"/>
      <rgbColor rgb="FF3366FF"/>
      <rgbColor rgb="FF33CCCC"/>
      <rgbColor rgb="FF99CC00"/>
      <rgbColor rgb="FFFFCC00"/>
      <rgbColor rgb="FFFF9900"/>
      <rgbColor rgb="FFFF6600"/>
      <rgbColor rgb="FF6B5B4F"/>
      <rgbColor rgb="FF969696"/>
      <rgbColor rgb="FF003366"/>
      <rgbColor rgb="FF339966"/>
      <rgbColor rgb="FF003300"/>
      <rgbColor rgb="FF333300"/>
      <rgbColor rgb="FF993300"/>
      <rgbColor rgb="FFC94A4A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7" min="3" style="0" width="13"/>
  </cols>
  <sheetData>
    <row r="1" customFormat="false" ht="23.8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9.4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15" hidden="false" customHeight="false" outlineLevel="0" collapsed="false">
      <c r="A6" s="6" t="s">
        <v>10</v>
      </c>
      <c r="B6" s="7" t="s">
        <v>11</v>
      </c>
      <c r="C6" s="6" t="n">
        <v>4.8</v>
      </c>
      <c r="D6" s="6" t="n">
        <v>3334</v>
      </c>
      <c r="E6" s="8" t="n">
        <v>4033</v>
      </c>
      <c r="F6" s="8" t="n">
        <v>970</v>
      </c>
      <c r="G6" s="9" t="n">
        <f aca="false">F6/(E6+F6)</f>
        <v>0.193883669798121</v>
      </c>
    </row>
    <row r="7" customFormat="false" ht="15" hidden="false" customHeight="false" outlineLevel="0" collapsed="false">
      <c r="A7" s="10" t="s">
        <v>12</v>
      </c>
      <c r="B7" s="11" t="s">
        <v>13</v>
      </c>
      <c r="C7" s="10" t="n">
        <v>4.8</v>
      </c>
      <c r="D7" s="10" t="n">
        <v>2654</v>
      </c>
      <c r="E7" s="12" t="n">
        <v>3037</v>
      </c>
      <c r="F7" s="12" t="n">
        <v>574</v>
      </c>
      <c r="G7" s="13" t="n">
        <f aca="false">F7/(E7+F7)</f>
        <v>0.158958737191914</v>
      </c>
    </row>
    <row r="8" customFormat="false" ht="15" hidden="false" customHeight="false" outlineLevel="0" collapsed="false">
      <c r="A8" s="14" t="s">
        <v>14</v>
      </c>
      <c r="B8" s="15" t="s">
        <v>15</v>
      </c>
      <c r="C8" s="14" t="n">
        <v>4.8</v>
      </c>
      <c r="D8" s="14" t="n">
        <v>904</v>
      </c>
      <c r="E8" s="16" t="n">
        <v>749</v>
      </c>
      <c r="F8" s="16" t="n">
        <v>414</v>
      </c>
      <c r="G8" s="17" t="n">
        <f aca="false">F8/(E8+F8)</f>
        <v>0.35597592433362</v>
      </c>
    </row>
    <row r="9" customFormat="false" ht="26.85" hidden="false" customHeight="false" outlineLevel="0" collapsed="false">
      <c r="A9" s="14" t="s">
        <v>16</v>
      </c>
      <c r="B9" s="15" t="s">
        <v>17</v>
      </c>
      <c r="C9" s="14" t="n">
        <v>4.6</v>
      </c>
      <c r="D9" s="14" t="n">
        <v>847</v>
      </c>
      <c r="E9" s="16" t="n">
        <v>833</v>
      </c>
      <c r="F9" s="16" t="n">
        <v>874</v>
      </c>
      <c r="G9" s="17" t="n">
        <f aca="false">F9/(E9+F9)</f>
        <v>0.512009373169303</v>
      </c>
    </row>
    <row r="10" customFormat="false" ht="15" hidden="false" customHeight="false" outlineLevel="0" collapsed="false">
      <c r="A10" s="6" t="s">
        <v>18</v>
      </c>
      <c r="B10" s="7" t="s">
        <v>19</v>
      </c>
      <c r="C10" s="6" t="n">
        <v>4.7</v>
      </c>
      <c r="D10" s="6" t="n">
        <v>625</v>
      </c>
      <c r="E10" s="8" t="n">
        <v>896</v>
      </c>
      <c r="F10" s="8" t="n">
        <v>57</v>
      </c>
      <c r="G10" s="9" t="n">
        <f aca="false">F10/(E10+F10)</f>
        <v>0.0598111227701994</v>
      </c>
    </row>
    <row r="11" customFormat="false" ht="15" hidden="false" customHeight="false" outlineLevel="0" collapsed="false">
      <c r="A11" s="10" t="s">
        <v>20</v>
      </c>
      <c r="B11" s="11" t="s">
        <v>21</v>
      </c>
      <c r="C11" s="10" t="n">
        <v>4.7</v>
      </c>
      <c r="D11" s="10" t="n">
        <v>427</v>
      </c>
      <c r="E11" s="12" t="n">
        <v>497</v>
      </c>
      <c r="F11" s="12" t="n">
        <v>75</v>
      </c>
      <c r="G11" s="13" t="n">
        <f aca="false">F11/(E11+F11)</f>
        <v>0.131118881118881</v>
      </c>
    </row>
    <row r="12" customFormat="false" ht="15" hidden="false" customHeight="false" outlineLevel="0" collapsed="false">
      <c r="A12" s="6" t="s">
        <v>22</v>
      </c>
      <c r="B12" s="7" t="s">
        <v>23</v>
      </c>
      <c r="C12" s="6" t="n">
        <v>4.9</v>
      </c>
      <c r="D12" s="6" t="n">
        <v>419</v>
      </c>
      <c r="E12" s="8" t="n">
        <v>486</v>
      </c>
      <c r="F12" s="8" t="n">
        <v>32</v>
      </c>
      <c r="G12" s="9" t="n">
        <f aca="false">F12/(E12+F12)</f>
        <v>0.0617760617760618</v>
      </c>
    </row>
    <row r="13" customFormat="false" ht="15" hidden="false" customHeight="false" outlineLevel="0" collapsed="false">
      <c r="A13" s="10" t="s">
        <v>24</v>
      </c>
      <c r="B13" s="11" t="s">
        <v>25</v>
      </c>
      <c r="C13" s="10" t="n">
        <v>4.8</v>
      </c>
      <c r="D13" s="10" t="n">
        <v>329</v>
      </c>
      <c r="E13" s="12" t="n">
        <v>275</v>
      </c>
      <c r="F13" s="12" t="n">
        <v>81</v>
      </c>
      <c r="G13" s="13" t="n">
        <f aca="false">F13/(E13+F13)</f>
        <v>0.22752808988764</v>
      </c>
    </row>
    <row r="14" customFormat="false" ht="15" hidden="false" customHeight="false" outlineLevel="0" collapsed="false">
      <c r="A14" s="6" t="s">
        <v>26</v>
      </c>
      <c r="B14" s="7" t="s">
        <v>27</v>
      </c>
      <c r="C14" s="6" t="n">
        <v>4.8</v>
      </c>
      <c r="D14" s="6" t="n">
        <v>182</v>
      </c>
      <c r="E14" s="8" t="n">
        <v>424</v>
      </c>
      <c r="F14" s="8" t="n">
        <v>18</v>
      </c>
      <c r="G14" s="9" t="n">
        <f aca="false">F14/(E14+F14)</f>
        <v>0.0407239819004525</v>
      </c>
    </row>
    <row r="15" customFormat="false" ht="15" hidden="false" customHeight="false" outlineLevel="0" collapsed="false">
      <c r="A15" s="10" t="s">
        <v>28</v>
      </c>
      <c r="B15" s="11" t="s">
        <v>29</v>
      </c>
      <c r="C15" s="10" t="n">
        <v>4.7</v>
      </c>
      <c r="D15" s="10" t="n">
        <v>168</v>
      </c>
      <c r="E15" s="12" t="n">
        <v>342</v>
      </c>
      <c r="F15" s="12" t="n">
        <v>96</v>
      </c>
      <c r="G15" s="13" t="n">
        <f aca="false">F15/(E15+F15)</f>
        <v>0.219178082191781</v>
      </c>
    </row>
    <row r="16" customFormat="false" ht="15" hidden="false" customHeight="false" outlineLevel="0" collapsed="false">
      <c r="A16" s="6" t="s">
        <v>30</v>
      </c>
      <c r="B16" s="7" t="s">
        <v>31</v>
      </c>
      <c r="C16" s="6" t="n">
        <v>4.9</v>
      </c>
      <c r="D16" s="6" t="n">
        <v>153</v>
      </c>
      <c r="E16" s="8" t="n">
        <v>442</v>
      </c>
      <c r="F16" s="8" t="n">
        <v>130</v>
      </c>
      <c r="G16" s="9" t="n">
        <f aca="false">F16/(E16+F16)</f>
        <v>0.227272727272727</v>
      </c>
    </row>
    <row r="17" customFormat="false" ht="15" hidden="false" customHeight="false" outlineLevel="0" collapsed="false">
      <c r="A17" s="10" t="s">
        <v>32</v>
      </c>
      <c r="B17" s="11" t="s">
        <v>33</v>
      </c>
      <c r="C17" s="10" t="n">
        <v>4.8</v>
      </c>
      <c r="D17" s="10" t="n">
        <v>118</v>
      </c>
      <c r="E17" s="12" t="n">
        <v>245</v>
      </c>
      <c r="F17" s="12" t="n">
        <v>6</v>
      </c>
      <c r="G17" s="13" t="n">
        <f aca="false">F17/(E17+F17)</f>
        <v>0.0239043824701195</v>
      </c>
    </row>
    <row r="18" customFormat="false" ht="15" hidden="false" customHeight="false" outlineLevel="0" collapsed="false">
      <c r="A18" s="6" t="s">
        <v>34</v>
      </c>
      <c r="B18" s="7" t="s">
        <v>35</v>
      </c>
      <c r="C18" s="6" t="n">
        <v>4.8</v>
      </c>
      <c r="D18" s="6" t="n">
        <v>109</v>
      </c>
      <c r="E18" s="8" t="n">
        <v>524</v>
      </c>
      <c r="F18" s="8" t="n">
        <v>9</v>
      </c>
      <c r="G18" s="9" t="n">
        <f aca="false">F18/(E18+F18)</f>
        <v>0.0168855534709193</v>
      </c>
    </row>
    <row r="19" customFormat="false" ht="15" hidden="false" customHeight="false" outlineLevel="0" collapsed="false">
      <c r="A19" s="14" t="s">
        <v>36</v>
      </c>
      <c r="B19" s="15" t="s">
        <v>37</v>
      </c>
      <c r="C19" s="14" t="n">
        <v>4.8</v>
      </c>
      <c r="D19" s="14" t="n">
        <v>100</v>
      </c>
      <c r="E19" s="16" t="n">
        <v>295</v>
      </c>
      <c r="F19" s="16" t="n">
        <v>194</v>
      </c>
      <c r="G19" s="17" t="n">
        <f aca="false">F19/(E19+F19)</f>
        <v>0.396728016359918</v>
      </c>
    </row>
    <row r="20" customFormat="false" ht="15" hidden="false" customHeight="false" outlineLevel="0" collapsed="false">
      <c r="A20" s="6" t="s">
        <v>38</v>
      </c>
      <c r="B20" s="7" t="s">
        <v>39</v>
      </c>
      <c r="C20" s="6" t="n">
        <v>4.8</v>
      </c>
      <c r="D20" s="6" t="n">
        <v>93</v>
      </c>
      <c r="E20" s="8" t="n">
        <v>137</v>
      </c>
      <c r="F20" s="8" t="n">
        <v>14</v>
      </c>
      <c r="G20" s="9" t="n">
        <f aca="false">F20/(E20+F20)</f>
        <v>0.0927152317880795</v>
      </c>
    </row>
    <row r="21" customFormat="false" ht="15" hidden="false" customHeight="false" outlineLevel="0" collapsed="false">
      <c r="A21" s="18" t="s">
        <v>40</v>
      </c>
      <c r="B21" s="18"/>
      <c r="C21" s="19" t="n">
        <f aca="false">AVERAGE(C6:C20)</f>
        <v>4.78</v>
      </c>
      <c r="D21" s="20" t="n">
        <f aca="false">SUM(D6:D20)</f>
        <v>10462</v>
      </c>
      <c r="E21" s="20" t="n">
        <f aca="false">SUM(E6:E20)</f>
        <v>13215</v>
      </c>
      <c r="F21" s="20" t="n">
        <f aca="false">SUM(F6:F20)</f>
        <v>3544</v>
      </c>
      <c r="G21" s="21" t="n">
        <f aca="false">F21/(E21+F21)</f>
        <v>0.211468464705531</v>
      </c>
    </row>
    <row r="24" customFormat="false" ht="15" hidden="false" customHeight="false" outlineLevel="0" collapsed="false">
      <c r="A24" s="3" t="s">
        <v>41</v>
      </c>
    </row>
    <row r="25" customFormat="false" ht="17.15" hidden="false" customHeight="false" outlineLevel="0" collapsed="false">
      <c r="A25" s="22" t="s">
        <v>42</v>
      </c>
      <c r="B25" s="22" t="s">
        <v>43</v>
      </c>
      <c r="C25" s="22" t="s">
        <v>44</v>
      </c>
    </row>
    <row r="26" customFormat="false" ht="15" hidden="false" customHeight="false" outlineLevel="0" collapsed="false">
      <c r="A26" s="23" t="s">
        <v>45</v>
      </c>
      <c r="B26" s="24" t="s">
        <v>46</v>
      </c>
      <c r="C26" s="25" t="n">
        <v>3489</v>
      </c>
    </row>
    <row r="27" customFormat="false" ht="15" hidden="false" customHeight="false" outlineLevel="0" collapsed="false">
      <c r="A27" s="24"/>
      <c r="B27" s="24" t="s">
        <v>47</v>
      </c>
      <c r="C27" s="25" t="n">
        <v>1455</v>
      </c>
    </row>
    <row r="28" customFormat="false" ht="15" hidden="false" customHeight="false" outlineLevel="0" collapsed="false">
      <c r="A28" s="24"/>
      <c r="B28" s="24" t="s">
        <v>48</v>
      </c>
      <c r="C28" s="25" t="n">
        <v>1256</v>
      </c>
    </row>
    <row r="29" customFormat="false" ht="15" hidden="false" customHeight="false" outlineLevel="0" collapsed="false">
      <c r="A29" s="24"/>
      <c r="B29" s="24" t="s">
        <v>49</v>
      </c>
      <c r="C29" s="25" t="n">
        <v>886</v>
      </c>
    </row>
    <row r="30" customFormat="false" ht="15" hidden="false" customHeight="false" outlineLevel="0" collapsed="false">
      <c r="A30" s="24"/>
      <c r="B30" s="24" t="s">
        <v>50</v>
      </c>
      <c r="C30" s="25" t="n">
        <v>782</v>
      </c>
    </row>
    <row r="31" customFormat="false" ht="15" hidden="false" customHeight="false" outlineLevel="0" collapsed="false">
      <c r="A31" s="24"/>
      <c r="B31" s="24" t="s">
        <v>51</v>
      </c>
      <c r="C31" s="25" t="n">
        <v>680</v>
      </c>
    </row>
    <row r="32" customFormat="false" ht="15" hidden="false" customHeight="false" outlineLevel="0" collapsed="false">
      <c r="A32" s="24"/>
      <c r="B32" s="24" t="s">
        <v>52</v>
      </c>
      <c r="C32" s="25" t="n">
        <v>659</v>
      </c>
    </row>
    <row r="33" customFormat="false" ht="15" hidden="false" customHeight="false" outlineLevel="0" collapsed="false">
      <c r="A33" s="24"/>
      <c r="B33" s="24" t="s">
        <v>53</v>
      </c>
      <c r="C33" s="25" t="n">
        <v>339</v>
      </c>
    </row>
    <row r="34" customFormat="false" ht="15" hidden="false" customHeight="false" outlineLevel="0" collapsed="false">
      <c r="A34" s="24"/>
      <c r="B34" s="24" t="s">
        <v>54</v>
      </c>
      <c r="C34" s="25" t="n">
        <v>303</v>
      </c>
    </row>
    <row r="35" customFormat="false" ht="15" hidden="false" customHeight="false" outlineLevel="0" collapsed="false">
      <c r="A35" s="24"/>
      <c r="B35" s="24" t="s">
        <v>55</v>
      </c>
      <c r="C35" s="25" t="n">
        <v>296</v>
      </c>
    </row>
    <row r="36" customFormat="false" ht="15" hidden="false" customHeight="false" outlineLevel="0" collapsed="false">
      <c r="A36" s="24"/>
      <c r="B36" s="24" t="s">
        <v>56</v>
      </c>
      <c r="C36" s="25" t="n">
        <v>237</v>
      </c>
    </row>
    <row r="37" customFormat="false" ht="15" hidden="false" customHeight="false" outlineLevel="0" collapsed="false">
      <c r="A37" s="24"/>
      <c r="B37" s="24" t="s">
        <v>57</v>
      </c>
      <c r="C37" s="25" t="n">
        <v>220</v>
      </c>
    </row>
    <row r="38" customFormat="false" ht="15" hidden="false" customHeight="false" outlineLevel="0" collapsed="false">
      <c r="A38" s="24"/>
      <c r="B38" s="24" t="s">
        <v>58</v>
      </c>
      <c r="C38" s="25" t="n">
        <v>200</v>
      </c>
    </row>
    <row r="39" customFormat="false" ht="15" hidden="false" customHeight="false" outlineLevel="0" collapsed="false">
      <c r="A39" s="24"/>
      <c r="B39" s="24" t="s">
        <v>59</v>
      </c>
      <c r="C39" s="25" t="n">
        <v>200</v>
      </c>
    </row>
    <row r="40" customFormat="false" ht="15" hidden="false" customHeight="false" outlineLevel="0" collapsed="false">
      <c r="A40" s="24"/>
      <c r="B40" s="24" t="s">
        <v>60</v>
      </c>
      <c r="C40" s="25" t="n">
        <v>133</v>
      </c>
    </row>
    <row r="42" customFormat="false" ht="15" hidden="false" customHeight="false" outlineLevel="0" collapsed="false">
      <c r="A42" s="26" t="s">
        <v>61</v>
      </c>
      <c r="B42" s="27" t="s">
        <v>62</v>
      </c>
      <c r="C42" s="28" t="n">
        <v>1035</v>
      </c>
    </row>
    <row r="43" customFormat="false" ht="15" hidden="false" customHeight="false" outlineLevel="0" collapsed="false">
      <c r="A43" s="27"/>
      <c r="B43" s="27" t="s">
        <v>63</v>
      </c>
      <c r="C43" s="28" t="n">
        <v>604</v>
      </c>
    </row>
    <row r="44" customFormat="false" ht="15" hidden="false" customHeight="false" outlineLevel="0" collapsed="false">
      <c r="A44" s="27"/>
      <c r="B44" s="27" t="s">
        <v>64</v>
      </c>
      <c r="C44" s="28" t="n">
        <v>379</v>
      </c>
    </row>
    <row r="45" customFormat="false" ht="15" hidden="false" customHeight="false" outlineLevel="0" collapsed="false">
      <c r="A45" s="27"/>
      <c r="B45" s="27" t="s">
        <v>65</v>
      </c>
      <c r="C45" s="28" t="n">
        <v>328</v>
      </c>
    </row>
    <row r="46" customFormat="false" ht="15" hidden="false" customHeight="false" outlineLevel="0" collapsed="false">
      <c r="A46" s="27"/>
      <c r="B46" s="27" t="s">
        <v>66</v>
      </c>
      <c r="C46" s="28" t="n">
        <v>228</v>
      </c>
    </row>
    <row r="47" customFormat="false" ht="15" hidden="false" customHeight="false" outlineLevel="0" collapsed="false">
      <c r="A47" s="27"/>
      <c r="B47" s="27" t="s">
        <v>67</v>
      </c>
      <c r="C47" s="28" t="n">
        <v>112</v>
      </c>
    </row>
    <row r="48" customFormat="false" ht="15" hidden="false" customHeight="false" outlineLevel="0" collapsed="false">
      <c r="A48" s="27"/>
      <c r="B48" s="27" t="s">
        <v>68</v>
      </c>
      <c r="C48" s="28" t="n">
        <v>98</v>
      </c>
    </row>
    <row r="49" customFormat="false" ht="15" hidden="false" customHeight="false" outlineLevel="0" collapsed="false">
      <c r="A49" s="27"/>
      <c r="B49" s="27" t="s">
        <v>69</v>
      </c>
      <c r="C49" s="28" t="n">
        <v>97</v>
      </c>
    </row>
    <row r="50" customFormat="false" ht="15" hidden="false" customHeight="false" outlineLevel="0" collapsed="false">
      <c r="A50" s="27"/>
      <c r="B50" s="27" t="s">
        <v>70</v>
      </c>
      <c r="C50" s="28" t="n">
        <v>95</v>
      </c>
    </row>
    <row r="51" customFormat="false" ht="15" hidden="false" customHeight="false" outlineLevel="0" collapsed="false">
      <c r="A51" s="27"/>
      <c r="B51" s="27" t="s">
        <v>71</v>
      </c>
      <c r="C51" s="28" t="n">
        <v>88</v>
      </c>
    </row>
    <row r="52" customFormat="false" ht="15" hidden="false" customHeight="false" outlineLevel="0" collapsed="false">
      <c r="A52" s="27"/>
      <c r="B52" s="27" t="s">
        <v>72</v>
      </c>
      <c r="C52" s="28" t="n">
        <v>80</v>
      </c>
    </row>
    <row r="53" customFormat="false" ht="15" hidden="false" customHeight="false" outlineLevel="0" collapsed="false">
      <c r="A53" s="27"/>
      <c r="B53" s="27" t="s">
        <v>73</v>
      </c>
      <c r="C53" s="28" t="n">
        <v>35</v>
      </c>
    </row>
    <row r="55" customFormat="false" ht="15" hidden="false" customHeight="false" outlineLevel="0" collapsed="false">
      <c r="A55" s="29" t="s">
        <v>74</v>
      </c>
      <c r="B55" s="30" t="s">
        <v>75</v>
      </c>
      <c r="C55" s="31" t="n">
        <v>598</v>
      </c>
    </row>
    <row r="56" customFormat="false" ht="15" hidden="false" customHeight="false" outlineLevel="0" collapsed="false">
      <c r="A56" s="30"/>
      <c r="B56" s="30" t="s">
        <v>76</v>
      </c>
      <c r="C56" s="31" t="n">
        <v>407</v>
      </c>
    </row>
    <row r="57" customFormat="false" ht="15" hidden="false" customHeight="false" outlineLevel="0" collapsed="false">
      <c r="A57" s="30"/>
      <c r="B57" s="30" t="s">
        <v>77</v>
      </c>
      <c r="C57" s="31" t="n">
        <v>263</v>
      </c>
    </row>
    <row r="58" customFormat="false" ht="15" hidden="false" customHeight="false" outlineLevel="0" collapsed="false">
      <c r="A58" s="30"/>
      <c r="B58" s="30" t="s">
        <v>78</v>
      </c>
      <c r="C58" s="31" t="n">
        <v>58</v>
      </c>
    </row>
    <row r="59" customFormat="false" ht="15" hidden="false" customHeight="false" outlineLevel="0" collapsed="false">
      <c r="A59" s="30"/>
      <c r="B59" s="30" t="s">
        <v>79</v>
      </c>
      <c r="C59" s="31" t="n">
        <v>47</v>
      </c>
    </row>
    <row r="60" customFormat="false" ht="15" hidden="false" customHeight="false" outlineLevel="0" collapsed="false">
      <c r="A60" s="30"/>
      <c r="B60" s="30" t="s">
        <v>80</v>
      </c>
      <c r="C60" s="31" t="n">
        <v>44</v>
      </c>
    </row>
    <row r="61" customFormat="false" ht="15" hidden="false" customHeight="false" outlineLevel="0" collapsed="false">
      <c r="A61" s="30"/>
      <c r="B61" s="30" t="s">
        <v>81</v>
      </c>
      <c r="C61" s="31" t="n">
        <v>44</v>
      </c>
    </row>
    <row r="62" customFormat="false" ht="15" hidden="false" customHeight="false" outlineLevel="0" collapsed="false">
      <c r="A62" s="30"/>
      <c r="B62" s="30" t="s">
        <v>82</v>
      </c>
      <c r="C62" s="31" t="n">
        <v>29</v>
      </c>
    </row>
    <row r="63" customFormat="false" ht="15" hidden="false" customHeight="false" outlineLevel="0" collapsed="false">
      <c r="A63" s="30"/>
      <c r="B63" s="30" t="s">
        <v>83</v>
      </c>
      <c r="C63" s="31" t="n">
        <v>26</v>
      </c>
    </row>
    <row r="64" customFormat="false" ht="15" hidden="false" customHeight="false" outlineLevel="0" collapsed="false">
      <c r="A64" s="30"/>
      <c r="B64" s="30" t="s">
        <v>84</v>
      </c>
      <c r="C64" s="31" t="n">
        <v>25</v>
      </c>
    </row>
    <row r="65" customFormat="false" ht="15" hidden="false" customHeight="false" outlineLevel="0" collapsed="false">
      <c r="A65" s="30"/>
      <c r="B65" s="30" t="s">
        <v>85</v>
      </c>
      <c r="C65" s="31" t="n">
        <v>17</v>
      </c>
    </row>
    <row r="66" customFormat="false" ht="15" hidden="false" customHeight="false" outlineLevel="0" collapsed="false">
      <c r="A66" s="30"/>
      <c r="B66" s="30" t="s">
        <v>86</v>
      </c>
      <c r="C66" s="31" t="n">
        <v>14</v>
      </c>
    </row>
    <row r="67" customFormat="false" ht="15" hidden="false" customHeight="false" outlineLevel="0" collapsed="false">
      <c r="A67" s="30"/>
      <c r="B67" s="30" t="s">
        <v>87</v>
      </c>
      <c r="C67" s="31" t="n">
        <v>12</v>
      </c>
    </row>
    <row r="68" customFormat="false" ht="15" hidden="false" customHeight="false" outlineLevel="0" collapsed="false">
      <c r="A68" s="30"/>
      <c r="B68" s="30" t="s">
        <v>88</v>
      </c>
      <c r="C68" s="31" t="n">
        <v>2</v>
      </c>
    </row>
    <row r="70" customFormat="false" ht="15" hidden="false" customHeight="false" outlineLevel="0" collapsed="false">
      <c r="A70" s="32" t="s">
        <v>89</v>
      </c>
      <c r="B70" s="33" t="s">
        <v>46</v>
      </c>
      <c r="C70" s="34" t="n">
        <v>1513</v>
      </c>
    </row>
    <row r="71" customFormat="false" ht="15" hidden="false" customHeight="false" outlineLevel="0" collapsed="false">
      <c r="A71" s="33"/>
      <c r="B71" s="33" t="s">
        <v>90</v>
      </c>
      <c r="C71" s="34" t="n">
        <v>1117</v>
      </c>
    </row>
    <row r="72" customFormat="false" ht="15" hidden="false" customHeight="false" outlineLevel="0" collapsed="false">
      <c r="A72" s="33"/>
      <c r="B72" s="33" t="s">
        <v>91</v>
      </c>
      <c r="C72" s="34" t="n">
        <v>672</v>
      </c>
    </row>
    <row r="73" customFormat="false" ht="15" hidden="false" customHeight="false" outlineLevel="0" collapsed="false">
      <c r="A73" s="33"/>
      <c r="B73" s="33" t="s">
        <v>51</v>
      </c>
      <c r="C73" s="34" t="n">
        <v>473</v>
      </c>
    </row>
    <row r="74" customFormat="false" ht="15" hidden="false" customHeight="false" outlineLevel="0" collapsed="false">
      <c r="A74" s="33"/>
      <c r="B74" s="33" t="s">
        <v>62</v>
      </c>
      <c r="C74" s="34" t="n">
        <v>471</v>
      </c>
    </row>
    <row r="75" customFormat="false" ht="15" hidden="false" customHeight="false" outlineLevel="0" collapsed="false">
      <c r="A75" s="33"/>
      <c r="B75" s="33" t="s">
        <v>49</v>
      </c>
      <c r="C75" s="34" t="n">
        <v>450</v>
      </c>
    </row>
    <row r="76" customFormat="false" ht="15" hidden="false" customHeight="false" outlineLevel="0" collapsed="false">
      <c r="A76" s="33"/>
      <c r="B76" s="33" t="s">
        <v>47</v>
      </c>
      <c r="C76" s="34" t="n">
        <v>441</v>
      </c>
    </row>
    <row r="77" customFormat="false" ht="15" hidden="false" customHeight="false" outlineLevel="0" collapsed="false">
      <c r="A77" s="33"/>
      <c r="B77" s="33" t="s">
        <v>63</v>
      </c>
      <c r="C77" s="34" t="n">
        <v>378</v>
      </c>
    </row>
    <row r="78" customFormat="false" ht="15" hidden="false" customHeight="false" outlineLevel="0" collapsed="false">
      <c r="A78" s="33"/>
      <c r="B78" s="33" t="s">
        <v>75</v>
      </c>
      <c r="C78" s="34" t="n">
        <v>373</v>
      </c>
    </row>
    <row r="79" customFormat="false" ht="15" hidden="false" customHeight="false" outlineLevel="0" collapsed="false">
      <c r="A79" s="33"/>
      <c r="B79" s="33" t="s">
        <v>92</v>
      </c>
      <c r="C79" s="34" t="n">
        <v>291</v>
      </c>
    </row>
    <row r="80" customFormat="false" ht="15" hidden="false" customHeight="false" outlineLevel="0" collapsed="false">
      <c r="A80" s="33"/>
      <c r="B80" s="33" t="s">
        <v>93</v>
      </c>
      <c r="C80" s="34" t="n">
        <v>271</v>
      </c>
    </row>
    <row r="81" customFormat="false" ht="15" hidden="false" customHeight="false" outlineLevel="0" collapsed="false">
      <c r="A81" s="33"/>
      <c r="B81" s="33" t="s">
        <v>64</v>
      </c>
      <c r="C81" s="34" t="n">
        <v>254</v>
      </c>
    </row>
    <row r="82" customFormat="false" ht="15" hidden="false" customHeight="false" outlineLevel="0" collapsed="false">
      <c r="A82" s="33"/>
      <c r="B82" s="33" t="s">
        <v>94</v>
      </c>
      <c r="C82" s="34" t="n">
        <v>235</v>
      </c>
    </row>
    <row r="83" customFormat="false" ht="15" hidden="false" customHeight="false" outlineLevel="0" collapsed="false">
      <c r="A83" s="33"/>
      <c r="B83" s="33" t="s">
        <v>50</v>
      </c>
      <c r="C83" s="34" t="n">
        <v>217</v>
      </c>
    </row>
    <row r="84" customFormat="false" ht="15" hidden="false" customHeight="false" outlineLevel="0" collapsed="false">
      <c r="A84" s="33"/>
      <c r="B84" s="33" t="s">
        <v>48</v>
      </c>
      <c r="C84" s="34" t="n">
        <v>215</v>
      </c>
    </row>
    <row r="86" customFormat="false" ht="15" hidden="false" customHeight="false" outlineLevel="0" collapsed="false">
      <c r="A86" s="32" t="s">
        <v>95</v>
      </c>
      <c r="B86" s="33" t="s">
        <v>52</v>
      </c>
      <c r="C86" s="34" t="n">
        <v>353</v>
      </c>
    </row>
    <row r="87" customFormat="false" ht="15" hidden="false" customHeight="false" outlineLevel="0" collapsed="false">
      <c r="A87" s="33"/>
      <c r="B87" s="33" t="s">
        <v>96</v>
      </c>
      <c r="C87" s="34" t="n">
        <v>109</v>
      </c>
    </row>
    <row r="88" customFormat="false" ht="15" hidden="false" customHeight="false" outlineLevel="0" collapsed="false">
      <c r="A88" s="33"/>
      <c r="B88" s="33" t="s">
        <v>73</v>
      </c>
      <c r="C88" s="34" t="n">
        <v>103</v>
      </c>
    </row>
    <row r="89" customFormat="false" ht="15" hidden="false" customHeight="false" outlineLevel="0" collapsed="false">
      <c r="A89" s="33"/>
      <c r="B89" s="33" t="s">
        <v>97</v>
      </c>
      <c r="C89" s="34" t="n">
        <v>85</v>
      </c>
    </row>
    <row r="90" customFormat="false" ht="15" hidden="false" customHeight="false" outlineLevel="0" collapsed="false">
      <c r="A90" s="33"/>
      <c r="B90" s="33" t="s">
        <v>98</v>
      </c>
      <c r="C90" s="34" t="n">
        <v>57</v>
      </c>
    </row>
    <row r="91" customFormat="false" ht="15" hidden="false" customHeight="false" outlineLevel="0" collapsed="false">
      <c r="A91" s="33"/>
      <c r="B91" s="33" t="s">
        <v>99</v>
      </c>
      <c r="C91" s="34" t="n">
        <v>31</v>
      </c>
    </row>
    <row r="92" customFormat="false" ht="15" hidden="false" customHeight="false" outlineLevel="0" collapsed="false">
      <c r="A92" s="33"/>
      <c r="B92" s="33" t="s">
        <v>100</v>
      </c>
      <c r="C92" s="34" t="n">
        <v>29</v>
      </c>
    </row>
    <row r="93" customFormat="false" ht="15" hidden="false" customHeight="false" outlineLevel="0" collapsed="false">
      <c r="A93" s="33"/>
      <c r="B93" s="33" t="s">
        <v>50</v>
      </c>
      <c r="C93" s="34" t="n">
        <v>9</v>
      </c>
    </row>
    <row r="94" customFormat="false" ht="15" hidden="false" customHeight="false" outlineLevel="0" collapsed="false">
      <c r="A94" s="33"/>
      <c r="B94" s="33" t="s">
        <v>101</v>
      </c>
      <c r="C94" s="34" t="n">
        <v>6</v>
      </c>
    </row>
    <row r="95" customFormat="false" ht="15" hidden="false" customHeight="false" outlineLevel="0" collapsed="false">
      <c r="A95" s="33"/>
      <c r="B95" s="33" t="s">
        <v>102</v>
      </c>
      <c r="C95" s="34" t="n">
        <v>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2"/>
  </cols>
  <sheetData>
    <row r="1" customFormat="false" ht="21.6" hidden="false" customHeight="false" outlineLevel="0" collapsed="false">
      <c r="A1" s="35" t="s">
        <v>103</v>
      </c>
      <c r="B1" s="35"/>
      <c r="C1" s="35"/>
      <c r="D1" s="35"/>
      <c r="E1" s="35"/>
      <c r="F1" s="35"/>
      <c r="G1" s="35"/>
    </row>
    <row r="2" customFormat="false" ht="15" hidden="false" customHeight="false" outlineLevel="0" collapsed="false">
      <c r="A2" s="36" t="s">
        <v>104</v>
      </c>
      <c r="B2" s="36"/>
      <c r="C2" s="36"/>
      <c r="D2" s="36"/>
      <c r="E2" s="36"/>
      <c r="F2" s="36"/>
      <c r="G2" s="36"/>
    </row>
    <row r="4" customFormat="false" ht="32.8" hidden="false" customHeight="false" outlineLevel="0" collapsed="false">
      <c r="A4" s="5" t="s">
        <v>105</v>
      </c>
      <c r="B4" s="5" t="s">
        <v>6</v>
      </c>
      <c r="C4" s="5" t="s">
        <v>106</v>
      </c>
      <c r="D4" s="5" t="s">
        <v>7</v>
      </c>
      <c r="E4" s="5" t="s">
        <v>107</v>
      </c>
      <c r="F4" s="5" t="s">
        <v>8</v>
      </c>
      <c r="G4" s="5" t="s">
        <v>9</v>
      </c>
    </row>
    <row r="5" customFormat="false" ht="15" hidden="false" customHeight="true" outlineLevel="0" collapsed="false">
      <c r="A5" s="37" t="s">
        <v>108</v>
      </c>
      <c r="B5" s="38" t="n">
        <v>3334</v>
      </c>
      <c r="C5" s="39" t="s">
        <v>46</v>
      </c>
      <c r="D5" s="40" t="n">
        <v>1228</v>
      </c>
      <c r="E5" s="41" t="s">
        <v>62</v>
      </c>
      <c r="F5" s="42" t="n">
        <v>407</v>
      </c>
      <c r="G5" s="43" t="n">
        <v>0.193883669798121</v>
      </c>
    </row>
    <row r="6" customFormat="false" ht="15" hidden="false" customHeight="false" outlineLevel="0" collapsed="false">
      <c r="A6" s="37"/>
      <c r="B6" s="37"/>
      <c r="C6" s="39" t="s">
        <v>48</v>
      </c>
      <c r="D6" s="40" t="n">
        <v>496</v>
      </c>
      <c r="E6" s="41" t="s">
        <v>63</v>
      </c>
      <c r="F6" s="42" t="n">
        <v>245</v>
      </c>
      <c r="G6" s="43"/>
    </row>
    <row r="7" customFormat="false" ht="15" hidden="false" customHeight="false" outlineLevel="0" collapsed="false">
      <c r="A7" s="37"/>
      <c r="B7" s="37"/>
      <c r="C7" s="39" t="s">
        <v>47</v>
      </c>
      <c r="D7" s="40" t="n">
        <v>332</v>
      </c>
      <c r="E7" s="41" t="s">
        <v>64</v>
      </c>
      <c r="F7" s="42" t="n">
        <v>136</v>
      </c>
      <c r="G7" s="43"/>
    </row>
    <row r="8" customFormat="false" ht="15" hidden="false" customHeight="false" outlineLevel="0" collapsed="false">
      <c r="A8" s="37"/>
      <c r="B8" s="37"/>
      <c r="C8" s="39" t="s">
        <v>49</v>
      </c>
      <c r="D8" s="40" t="n">
        <v>268</v>
      </c>
      <c r="E8" s="41" t="s">
        <v>65</v>
      </c>
      <c r="F8" s="42" t="n">
        <v>49</v>
      </c>
      <c r="G8" s="43"/>
    </row>
    <row r="9" customFormat="false" ht="15" hidden="false" customHeight="false" outlineLevel="0" collapsed="false">
      <c r="A9" s="37"/>
      <c r="B9" s="37"/>
      <c r="C9" s="39" t="s">
        <v>51</v>
      </c>
      <c r="D9" s="40" t="n">
        <v>253</v>
      </c>
      <c r="E9" s="41" t="s">
        <v>67</v>
      </c>
      <c r="F9" s="42" t="n">
        <v>24</v>
      </c>
      <c r="G9" s="43"/>
    </row>
    <row r="10" customFormat="false" ht="15" hidden="false" customHeight="false" outlineLevel="0" collapsed="false">
      <c r="A10" s="37"/>
      <c r="B10" s="37"/>
      <c r="C10" s="39" t="s">
        <v>50</v>
      </c>
      <c r="D10" s="40" t="n">
        <v>235</v>
      </c>
      <c r="E10" s="41" t="s">
        <v>69</v>
      </c>
      <c r="F10" s="42" t="n">
        <v>22</v>
      </c>
      <c r="G10" s="43"/>
    </row>
    <row r="11" customFormat="false" ht="15" hidden="false" customHeight="true" outlineLevel="0" collapsed="false">
      <c r="A11" s="37" t="s">
        <v>109</v>
      </c>
      <c r="B11" s="38" t="n">
        <v>2654</v>
      </c>
      <c r="C11" s="39" t="s">
        <v>46</v>
      </c>
      <c r="D11" s="40" t="n">
        <v>842</v>
      </c>
      <c r="E11" s="41" t="s">
        <v>62</v>
      </c>
      <c r="F11" s="42" t="n">
        <v>231</v>
      </c>
      <c r="G11" s="43" t="n">
        <v>0.158958737191914</v>
      </c>
    </row>
    <row r="12" customFormat="false" ht="15" hidden="false" customHeight="false" outlineLevel="0" collapsed="false">
      <c r="A12" s="37"/>
      <c r="B12" s="37"/>
      <c r="C12" s="39" t="s">
        <v>47</v>
      </c>
      <c r="D12" s="40" t="n">
        <v>310</v>
      </c>
      <c r="E12" s="41" t="s">
        <v>63</v>
      </c>
      <c r="F12" s="42" t="n">
        <v>146</v>
      </c>
      <c r="G12" s="43"/>
    </row>
    <row r="13" customFormat="false" ht="15" hidden="false" customHeight="false" outlineLevel="0" collapsed="false">
      <c r="A13" s="37"/>
      <c r="B13" s="37"/>
      <c r="C13" s="39" t="s">
        <v>48</v>
      </c>
      <c r="D13" s="40" t="n">
        <v>304</v>
      </c>
      <c r="E13" s="41" t="s">
        <v>65</v>
      </c>
      <c r="F13" s="42" t="n">
        <v>85</v>
      </c>
      <c r="G13" s="43"/>
    </row>
    <row r="14" customFormat="false" ht="15" hidden="false" customHeight="false" outlineLevel="0" collapsed="false">
      <c r="A14" s="37"/>
      <c r="B14" s="37"/>
      <c r="C14" s="39" t="s">
        <v>49</v>
      </c>
      <c r="D14" s="40" t="n">
        <v>282</v>
      </c>
      <c r="E14" s="41" t="s">
        <v>64</v>
      </c>
      <c r="F14" s="42" t="n">
        <v>40</v>
      </c>
      <c r="G14" s="43"/>
    </row>
    <row r="15" customFormat="false" ht="15" hidden="false" customHeight="false" outlineLevel="0" collapsed="false">
      <c r="A15" s="37"/>
      <c r="B15" s="37"/>
      <c r="C15" s="39" t="s">
        <v>52</v>
      </c>
      <c r="D15" s="40" t="n">
        <v>190</v>
      </c>
      <c r="E15" s="41" t="s">
        <v>69</v>
      </c>
      <c r="F15" s="42" t="n">
        <v>19</v>
      </c>
      <c r="G15" s="43"/>
    </row>
    <row r="16" customFormat="false" ht="15" hidden="false" customHeight="false" outlineLevel="0" collapsed="false">
      <c r="A16" s="37"/>
      <c r="B16" s="37"/>
      <c r="C16" s="39" t="s">
        <v>51</v>
      </c>
      <c r="D16" s="40" t="n">
        <v>169</v>
      </c>
      <c r="E16" s="41" t="s">
        <v>67</v>
      </c>
      <c r="F16" s="42" t="n">
        <v>14</v>
      </c>
      <c r="G16" s="43"/>
    </row>
    <row r="17" customFormat="false" ht="15" hidden="false" customHeight="true" outlineLevel="0" collapsed="false">
      <c r="A17" s="37" t="s">
        <v>110</v>
      </c>
      <c r="B17" s="38" t="n">
        <v>904</v>
      </c>
      <c r="C17" s="39" t="s">
        <v>46</v>
      </c>
      <c r="D17" s="40" t="n">
        <v>221</v>
      </c>
      <c r="E17" s="41" t="s">
        <v>62</v>
      </c>
      <c r="F17" s="42" t="n">
        <v>165</v>
      </c>
      <c r="G17" s="44" t="n">
        <v>0.35597592433362</v>
      </c>
    </row>
    <row r="18" customFormat="false" ht="15" hidden="false" customHeight="false" outlineLevel="0" collapsed="false">
      <c r="A18" s="37"/>
      <c r="B18" s="37"/>
      <c r="C18" s="39" t="s">
        <v>47</v>
      </c>
      <c r="D18" s="40" t="n">
        <v>102</v>
      </c>
      <c r="E18" s="41" t="s">
        <v>63</v>
      </c>
      <c r="F18" s="42" t="n">
        <v>75</v>
      </c>
      <c r="G18" s="44"/>
    </row>
    <row r="19" customFormat="false" ht="15" hidden="false" customHeight="false" outlineLevel="0" collapsed="false">
      <c r="A19" s="37"/>
      <c r="B19" s="37"/>
      <c r="C19" s="39" t="s">
        <v>48</v>
      </c>
      <c r="D19" s="40" t="n">
        <v>72</v>
      </c>
      <c r="E19" s="41" t="s">
        <v>65</v>
      </c>
      <c r="F19" s="42" t="n">
        <v>47</v>
      </c>
      <c r="G19" s="44"/>
    </row>
    <row r="20" customFormat="false" ht="15" hidden="false" customHeight="false" outlineLevel="0" collapsed="false">
      <c r="A20" s="37"/>
      <c r="B20" s="37"/>
      <c r="C20" s="39" t="s">
        <v>57</v>
      </c>
      <c r="D20" s="40" t="n">
        <v>60</v>
      </c>
      <c r="E20" s="41" t="s">
        <v>69</v>
      </c>
      <c r="F20" s="42" t="n">
        <v>34</v>
      </c>
      <c r="G20" s="44"/>
    </row>
    <row r="21" customFormat="false" ht="15" hidden="false" customHeight="false" outlineLevel="0" collapsed="false">
      <c r="A21" s="37"/>
      <c r="B21" s="37"/>
      <c r="C21" s="39" t="s">
        <v>52</v>
      </c>
      <c r="D21" s="40" t="n">
        <v>48</v>
      </c>
      <c r="E21" s="41" t="s">
        <v>64</v>
      </c>
      <c r="F21" s="42" t="n">
        <v>17</v>
      </c>
      <c r="G21" s="44"/>
    </row>
    <row r="22" customFormat="false" ht="15" hidden="false" customHeight="false" outlineLevel="0" collapsed="false">
      <c r="A22" s="37"/>
      <c r="B22" s="37"/>
      <c r="C22" s="39" t="s">
        <v>49</v>
      </c>
      <c r="D22" s="40" t="n">
        <v>46</v>
      </c>
      <c r="E22" s="41" t="s">
        <v>67</v>
      </c>
      <c r="F22" s="42" t="n">
        <v>14</v>
      </c>
      <c r="G22" s="44"/>
    </row>
    <row r="23" customFormat="false" ht="15" hidden="false" customHeight="true" outlineLevel="0" collapsed="false">
      <c r="A23" s="37" t="s">
        <v>111</v>
      </c>
      <c r="B23" s="38" t="n">
        <v>847</v>
      </c>
      <c r="C23" s="39" t="s">
        <v>46</v>
      </c>
      <c r="D23" s="40" t="n">
        <v>268</v>
      </c>
      <c r="E23" s="41" t="s">
        <v>66</v>
      </c>
      <c r="F23" s="42" t="n">
        <v>181</v>
      </c>
      <c r="G23" s="44" t="n">
        <v>0.512009373169303</v>
      </c>
    </row>
    <row r="24" customFormat="false" ht="15" hidden="false" customHeight="false" outlineLevel="0" collapsed="false">
      <c r="A24" s="37"/>
      <c r="B24" s="37"/>
      <c r="C24" s="39" t="s">
        <v>47</v>
      </c>
      <c r="D24" s="40" t="n">
        <v>158</v>
      </c>
      <c r="E24" s="41" t="s">
        <v>65</v>
      </c>
      <c r="F24" s="42" t="n">
        <v>126</v>
      </c>
      <c r="G24" s="44"/>
    </row>
    <row r="25" customFormat="false" ht="15" hidden="false" customHeight="false" outlineLevel="0" collapsed="false">
      <c r="A25" s="37"/>
      <c r="B25" s="37"/>
      <c r="C25" s="39" t="s">
        <v>55</v>
      </c>
      <c r="D25" s="40" t="n">
        <v>58</v>
      </c>
      <c r="E25" s="41" t="s">
        <v>64</v>
      </c>
      <c r="F25" s="42" t="n">
        <v>86</v>
      </c>
      <c r="G25" s="44"/>
    </row>
    <row r="26" customFormat="false" ht="15" hidden="false" customHeight="false" outlineLevel="0" collapsed="false">
      <c r="A26" s="37"/>
      <c r="B26" s="37"/>
      <c r="C26" s="39" t="s">
        <v>52</v>
      </c>
      <c r="D26" s="40" t="n">
        <v>53</v>
      </c>
      <c r="E26" s="41" t="s">
        <v>71</v>
      </c>
      <c r="F26" s="42" t="n">
        <v>79</v>
      </c>
      <c r="G26" s="44"/>
    </row>
    <row r="27" customFormat="false" ht="15" hidden="false" customHeight="false" outlineLevel="0" collapsed="false">
      <c r="A27" s="37"/>
      <c r="B27" s="37"/>
      <c r="C27" s="39" t="s">
        <v>48</v>
      </c>
      <c r="D27" s="40" t="n">
        <v>31</v>
      </c>
      <c r="E27" s="41" t="s">
        <v>62</v>
      </c>
      <c r="F27" s="42" t="n">
        <v>59</v>
      </c>
      <c r="G27" s="44"/>
    </row>
    <row r="28" customFormat="false" ht="15" hidden="false" customHeight="false" outlineLevel="0" collapsed="false">
      <c r="A28" s="37"/>
      <c r="B28" s="37"/>
      <c r="C28" s="39" t="s">
        <v>112</v>
      </c>
      <c r="D28" s="40" t="n">
        <v>26</v>
      </c>
      <c r="E28" s="41" t="s">
        <v>67</v>
      </c>
      <c r="F28" s="42" t="n">
        <v>50</v>
      </c>
      <c r="G28" s="44"/>
    </row>
    <row r="29" customFormat="false" ht="15" hidden="false" customHeight="true" outlineLevel="0" collapsed="false">
      <c r="A29" s="37" t="s">
        <v>113</v>
      </c>
      <c r="B29" s="38" t="n">
        <v>625</v>
      </c>
      <c r="C29" s="39" t="s">
        <v>46</v>
      </c>
      <c r="D29" s="40" t="n">
        <v>194</v>
      </c>
      <c r="E29" s="41" t="s">
        <v>62</v>
      </c>
      <c r="F29" s="42" t="n">
        <v>31</v>
      </c>
      <c r="G29" s="43" t="n">
        <v>0.0598111227701994</v>
      </c>
    </row>
    <row r="30" customFormat="false" ht="15" hidden="false" customHeight="false" outlineLevel="0" collapsed="false">
      <c r="A30" s="37"/>
      <c r="B30" s="37"/>
      <c r="C30" s="39" t="s">
        <v>51</v>
      </c>
      <c r="D30" s="40" t="n">
        <v>81</v>
      </c>
      <c r="E30" s="41" t="s">
        <v>63</v>
      </c>
      <c r="F30" s="42" t="n">
        <v>14</v>
      </c>
      <c r="G30" s="43"/>
    </row>
    <row r="31" customFormat="false" ht="15" hidden="false" customHeight="false" outlineLevel="0" collapsed="false">
      <c r="A31" s="37"/>
      <c r="B31" s="37"/>
      <c r="C31" s="39" t="s">
        <v>49</v>
      </c>
      <c r="D31" s="40" t="n">
        <v>80</v>
      </c>
      <c r="E31" s="41" t="s">
        <v>64</v>
      </c>
      <c r="F31" s="42" t="n">
        <v>6</v>
      </c>
      <c r="G31" s="43"/>
    </row>
    <row r="32" customFormat="false" ht="15" hidden="false" customHeight="false" outlineLevel="0" collapsed="false">
      <c r="A32" s="37"/>
      <c r="B32" s="37"/>
      <c r="C32" s="39" t="s">
        <v>48</v>
      </c>
      <c r="D32" s="40" t="n">
        <v>79</v>
      </c>
      <c r="E32" s="41" t="s">
        <v>65</v>
      </c>
      <c r="F32" s="42" t="n">
        <v>4</v>
      </c>
      <c r="G32" s="43"/>
    </row>
    <row r="33" customFormat="false" ht="15" hidden="false" customHeight="false" outlineLevel="0" collapsed="false">
      <c r="A33" s="37"/>
      <c r="B33" s="37"/>
      <c r="C33" s="39" t="s">
        <v>47</v>
      </c>
      <c r="D33" s="40" t="n">
        <v>66</v>
      </c>
      <c r="E33" s="41" t="s">
        <v>67</v>
      </c>
      <c r="F33" s="42" t="n">
        <v>2</v>
      </c>
      <c r="G33" s="43"/>
    </row>
    <row r="34" customFormat="false" ht="15" hidden="false" customHeight="false" outlineLevel="0" collapsed="false">
      <c r="A34" s="37"/>
      <c r="B34" s="37"/>
      <c r="C34" s="39" t="s">
        <v>50</v>
      </c>
      <c r="D34" s="40" t="n">
        <v>64</v>
      </c>
      <c r="E34" s="45"/>
      <c r="F34" s="45"/>
      <c r="G34" s="43"/>
    </row>
    <row r="35" customFormat="false" ht="15" hidden="false" customHeight="true" outlineLevel="0" collapsed="false">
      <c r="A35" s="37" t="s">
        <v>114</v>
      </c>
      <c r="B35" s="38" t="n">
        <v>427</v>
      </c>
      <c r="C35" s="39" t="s">
        <v>46</v>
      </c>
      <c r="D35" s="40" t="n">
        <v>127</v>
      </c>
      <c r="E35" s="41" t="s">
        <v>62</v>
      </c>
      <c r="F35" s="42" t="n">
        <v>32</v>
      </c>
      <c r="G35" s="43" t="n">
        <v>0.131118881118881</v>
      </c>
    </row>
    <row r="36" customFormat="false" ht="15" hidden="false" customHeight="false" outlineLevel="0" collapsed="false">
      <c r="A36" s="37"/>
      <c r="B36" s="37"/>
      <c r="C36" s="39" t="s">
        <v>48</v>
      </c>
      <c r="D36" s="40" t="n">
        <v>76</v>
      </c>
      <c r="E36" s="41" t="s">
        <v>63</v>
      </c>
      <c r="F36" s="42" t="n">
        <v>31</v>
      </c>
      <c r="G36" s="43"/>
    </row>
    <row r="37" customFormat="false" ht="15" hidden="false" customHeight="false" outlineLevel="0" collapsed="false">
      <c r="A37" s="37"/>
      <c r="B37" s="37"/>
      <c r="C37" s="39" t="s">
        <v>52</v>
      </c>
      <c r="D37" s="40" t="n">
        <v>58</v>
      </c>
      <c r="E37" s="41" t="s">
        <v>67</v>
      </c>
      <c r="F37" s="42" t="n">
        <v>4</v>
      </c>
      <c r="G37" s="43"/>
    </row>
    <row r="38" customFormat="false" ht="15" hidden="false" customHeight="false" outlineLevel="0" collapsed="false">
      <c r="A38" s="37"/>
      <c r="B38" s="37"/>
      <c r="C38" s="39" t="s">
        <v>47</v>
      </c>
      <c r="D38" s="40" t="n">
        <v>41</v>
      </c>
      <c r="E38" s="41" t="s">
        <v>69</v>
      </c>
      <c r="F38" s="42" t="n">
        <v>3</v>
      </c>
      <c r="G38" s="43"/>
    </row>
    <row r="39" customFormat="false" ht="15" hidden="false" customHeight="false" outlineLevel="0" collapsed="false">
      <c r="A39" s="37"/>
      <c r="B39" s="37"/>
      <c r="C39" s="39" t="s">
        <v>51</v>
      </c>
      <c r="D39" s="40" t="n">
        <v>38</v>
      </c>
      <c r="E39" s="41" t="s">
        <v>115</v>
      </c>
      <c r="F39" s="42" t="n">
        <v>2</v>
      </c>
      <c r="G39" s="43"/>
    </row>
    <row r="40" customFormat="false" ht="15" hidden="false" customHeight="false" outlineLevel="0" collapsed="false">
      <c r="A40" s="37"/>
      <c r="B40" s="37"/>
      <c r="C40" s="39" t="s">
        <v>50</v>
      </c>
      <c r="D40" s="40" t="n">
        <v>30</v>
      </c>
      <c r="E40" s="45"/>
      <c r="F40" s="45"/>
      <c r="G40" s="43"/>
    </row>
    <row r="41" customFormat="false" ht="15" hidden="false" customHeight="true" outlineLevel="0" collapsed="false">
      <c r="A41" s="37" t="s">
        <v>116</v>
      </c>
      <c r="B41" s="38" t="n">
        <v>419</v>
      </c>
      <c r="C41" s="39" t="s">
        <v>46</v>
      </c>
      <c r="D41" s="40" t="n">
        <v>155</v>
      </c>
      <c r="E41" s="41" t="s">
        <v>62</v>
      </c>
      <c r="F41" s="42" t="n">
        <v>10</v>
      </c>
      <c r="G41" s="43" t="n">
        <v>0.0617760617760618</v>
      </c>
    </row>
    <row r="42" customFormat="false" ht="15" hidden="false" customHeight="false" outlineLevel="0" collapsed="false">
      <c r="A42" s="37"/>
      <c r="B42" s="37"/>
      <c r="C42" s="39" t="s">
        <v>48</v>
      </c>
      <c r="D42" s="40" t="n">
        <v>44</v>
      </c>
      <c r="E42" s="41" t="s">
        <v>117</v>
      </c>
      <c r="F42" s="42" t="n">
        <v>9</v>
      </c>
      <c r="G42" s="43"/>
    </row>
    <row r="43" customFormat="false" ht="15" hidden="false" customHeight="false" outlineLevel="0" collapsed="false">
      <c r="A43" s="37"/>
      <c r="B43" s="37"/>
      <c r="C43" s="39" t="s">
        <v>118</v>
      </c>
      <c r="D43" s="40" t="n">
        <v>42</v>
      </c>
      <c r="E43" s="41" t="s">
        <v>63</v>
      </c>
      <c r="F43" s="42" t="n">
        <v>5</v>
      </c>
      <c r="G43" s="43"/>
    </row>
    <row r="44" customFormat="false" ht="15" hidden="false" customHeight="false" outlineLevel="0" collapsed="false">
      <c r="A44" s="37"/>
      <c r="B44" s="37"/>
      <c r="C44" s="39" t="s">
        <v>47</v>
      </c>
      <c r="D44" s="40" t="n">
        <v>41</v>
      </c>
      <c r="E44" s="41" t="s">
        <v>119</v>
      </c>
      <c r="F44" s="42" t="n">
        <v>4</v>
      </c>
      <c r="G44" s="43"/>
    </row>
    <row r="45" customFormat="false" ht="15" hidden="false" customHeight="false" outlineLevel="0" collapsed="false">
      <c r="A45" s="37"/>
      <c r="B45" s="37"/>
      <c r="C45" s="39" t="s">
        <v>120</v>
      </c>
      <c r="D45" s="40" t="n">
        <v>35</v>
      </c>
      <c r="E45" s="41" t="s">
        <v>64</v>
      </c>
      <c r="F45" s="42" t="n">
        <v>2</v>
      </c>
      <c r="G45" s="43"/>
    </row>
    <row r="46" customFormat="false" ht="15" hidden="false" customHeight="false" outlineLevel="0" collapsed="false">
      <c r="A46" s="37"/>
      <c r="B46" s="37"/>
      <c r="C46" s="39" t="s">
        <v>54</v>
      </c>
      <c r="D46" s="40" t="n">
        <v>24</v>
      </c>
      <c r="E46" s="41" t="s">
        <v>70</v>
      </c>
      <c r="F46" s="42" t="n">
        <v>2</v>
      </c>
      <c r="G46" s="43"/>
    </row>
    <row r="47" customFormat="false" ht="15" hidden="false" customHeight="true" outlineLevel="0" collapsed="false">
      <c r="A47" s="37" t="s">
        <v>121</v>
      </c>
      <c r="B47" s="38" t="n">
        <v>329</v>
      </c>
      <c r="C47" s="39" t="s">
        <v>46</v>
      </c>
      <c r="D47" s="40" t="n">
        <v>88</v>
      </c>
      <c r="E47" s="41" t="s">
        <v>62</v>
      </c>
      <c r="F47" s="42" t="n">
        <v>51</v>
      </c>
      <c r="G47" s="43" t="n">
        <v>0.227528089887641</v>
      </c>
    </row>
    <row r="48" customFormat="false" ht="15" hidden="false" customHeight="false" outlineLevel="0" collapsed="false">
      <c r="A48" s="37"/>
      <c r="B48" s="37"/>
      <c r="C48" s="39" t="s">
        <v>122</v>
      </c>
      <c r="D48" s="40" t="n">
        <v>31</v>
      </c>
      <c r="E48" s="41" t="s">
        <v>63</v>
      </c>
      <c r="F48" s="42" t="n">
        <v>21</v>
      </c>
      <c r="G48" s="43"/>
    </row>
    <row r="49" customFormat="false" ht="15" hidden="false" customHeight="false" outlineLevel="0" collapsed="false">
      <c r="A49" s="37"/>
      <c r="B49" s="37"/>
      <c r="C49" s="39" t="s">
        <v>47</v>
      </c>
      <c r="D49" s="40" t="n">
        <v>28</v>
      </c>
      <c r="E49" s="41" t="s">
        <v>65</v>
      </c>
      <c r="F49" s="42" t="n">
        <v>4</v>
      </c>
      <c r="G49" s="43"/>
    </row>
    <row r="50" customFormat="false" ht="15" hidden="false" customHeight="false" outlineLevel="0" collapsed="false">
      <c r="A50" s="37"/>
      <c r="B50" s="37"/>
      <c r="C50" s="39" t="s">
        <v>50</v>
      </c>
      <c r="D50" s="40" t="n">
        <v>20</v>
      </c>
      <c r="E50" s="41" t="s">
        <v>64</v>
      </c>
      <c r="F50" s="42" t="n">
        <v>4</v>
      </c>
      <c r="G50" s="43"/>
    </row>
    <row r="51" customFormat="false" ht="15" hidden="false" customHeight="false" outlineLevel="0" collapsed="false">
      <c r="A51" s="37"/>
      <c r="B51" s="37"/>
      <c r="C51" s="39" t="s">
        <v>48</v>
      </c>
      <c r="D51" s="40" t="n">
        <v>17</v>
      </c>
      <c r="E51" s="45"/>
      <c r="F51" s="45"/>
      <c r="G51" s="43"/>
    </row>
    <row r="52" customFormat="false" ht="15" hidden="false" customHeight="false" outlineLevel="0" collapsed="false">
      <c r="A52" s="37"/>
      <c r="B52" s="37"/>
      <c r="C52" s="39" t="s">
        <v>54</v>
      </c>
      <c r="D52" s="40" t="n">
        <v>8</v>
      </c>
      <c r="E52" s="45"/>
      <c r="F52" s="45"/>
      <c r="G52" s="43"/>
    </row>
    <row r="53" customFormat="false" ht="15" hidden="false" customHeight="true" outlineLevel="0" collapsed="false">
      <c r="A53" s="37" t="s">
        <v>123</v>
      </c>
      <c r="B53" s="38" t="n">
        <v>182</v>
      </c>
      <c r="C53" s="39" t="s">
        <v>46</v>
      </c>
      <c r="D53" s="40" t="n">
        <v>73</v>
      </c>
      <c r="E53" s="41" t="s">
        <v>64</v>
      </c>
      <c r="F53" s="42" t="n">
        <v>13</v>
      </c>
      <c r="G53" s="43" t="n">
        <v>0.0407239819004525</v>
      </c>
    </row>
    <row r="54" customFormat="false" ht="15" hidden="false" customHeight="false" outlineLevel="0" collapsed="false">
      <c r="A54" s="37"/>
      <c r="B54" s="37"/>
      <c r="C54" s="39" t="s">
        <v>49</v>
      </c>
      <c r="D54" s="40" t="n">
        <v>56</v>
      </c>
      <c r="E54" s="41" t="s">
        <v>63</v>
      </c>
      <c r="F54" s="42" t="n">
        <v>3</v>
      </c>
      <c r="G54" s="43"/>
    </row>
    <row r="55" customFormat="false" ht="15" hidden="false" customHeight="false" outlineLevel="0" collapsed="false">
      <c r="A55" s="37"/>
      <c r="B55" s="37"/>
      <c r="C55" s="39" t="s">
        <v>47</v>
      </c>
      <c r="D55" s="40" t="n">
        <v>54</v>
      </c>
      <c r="E55" s="41" t="s">
        <v>62</v>
      </c>
      <c r="F55" s="42" t="n">
        <v>2</v>
      </c>
      <c r="G55" s="43"/>
    </row>
    <row r="56" customFormat="false" ht="15" hidden="false" customHeight="false" outlineLevel="0" collapsed="false">
      <c r="A56" s="37"/>
      <c r="B56" s="37"/>
      <c r="C56" s="39" t="s">
        <v>50</v>
      </c>
      <c r="D56" s="40" t="n">
        <v>40</v>
      </c>
      <c r="E56" s="45"/>
      <c r="F56" s="45"/>
      <c r="G56" s="43"/>
    </row>
    <row r="57" customFormat="false" ht="15" hidden="false" customHeight="false" outlineLevel="0" collapsed="false">
      <c r="A57" s="37"/>
      <c r="B57" s="37"/>
      <c r="C57" s="39" t="s">
        <v>48</v>
      </c>
      <c r="D57" s="40" t="n">
        <v>29</v>
      </c>
      <c r="E57" s="45"/>
      <c r="F57" s="45"/>
      <c r="G57" s="43"/>
    </row>
    <row r="58" customFormat="false" ht="15" hidden="false" customHeight="false" outlineLevel="0" collapsed="false">
      <c r="A58" s="37"/>
      <c r="B58" s="37"/>
      <c r="C58" s="39" t="s">
        <v>54</v>
      </c>
      <c r="D58" s="40" t="n">
        <v>26</v>
      </c>
      <c r="E58" s="45"/>
      <c r="F58" s="45"/>
      <c r="G58" s="43"/>
    </row>
    <row r="59" customFormat="false" ht="15" hidden="false" customHeight="true" outlineLevel="0" collapsed="false">
      <c r="A59" s="37" t="s">
        <v>124</v>
      </c>
      <c r="B59" s="38" t="n">
        <v>168</v>
      </c>
      <c r="C59" s="39" t="s">
        <v>55</v>
      </c>
      <c r="D59" s="40" t="n">
        <v>78</v>
      </c>
      <c r="E59" s="41" t="s">
        <v>64</v>
      </c>
      <c r="F59" s="42" t="n">
        <v>29</v>
      </c>
      <c r="G59" s="43" t="n">
        <v>0.219178082191781</v>
      </c>
    </row>
    <row r="60" customFormat="false" ht="15" hidden="false" customHeight="false" outlineLevel="0" collapsed="false">
      <c r="A60" s="37"/>
      <c r="B60" s="37"/>
      <c r="C60" s="39" t="s">
        <v>46</v>
      </c>
      <c r="D60" s="40" t="n">
        <v>77</v>
      </c>
      <c r="E60" s="41" t="s">
        <v>62</v>
      </c>
      <c r="F60" s="42" t="n">
        <v>21</v>
      </c>
      <c r="G60" s="43"/>
    </row>
    <row r="61" customFormat="false" ht="15" hidden="false" customHeight="false" outlineLevel="0" collapsed="false">
      <c r="A61" s="37"/>
      <c r="B61" s="37"/>
      <c r="C61" s="39" t="s">
        <v>47</v>
      </c>
      <c r="D61" s="40" t="n">
        <v>29</v>
      </c>
      <c r="E61" s="41" t="s">
        <v>68</v>
      </c>
      <c r="F61" s="42" t="n">
        <v>18</v>
      </c>
      <c r="G61" s="43"/>
    </row>
    <row r="62" customFormat="false" ht="15" hidden="false" customHeight="false" outlineLevel="0" collapsed="false">
      <c r="A62" s="37"/>
      <c r="B62" s="37"/>
      <c r="C62" s="39" t="s">
        <v>125</v>
      </c>
      <c r="D62" s="40" t="n">
        <v>18</v>
      </c>
      <c r="E62" s="41" t="s">
        <v>63</v>
      </c>
      <c r="F62" s="42" t="n">
        <v>12</v>
      </c>
      <c r="G62" s="43"/>
    </row>
    <row r="63" customFormat="false" ht="15" hidden="false" customHeight="false" outlineLevel="0" collapsed="false">
      <c r="A63" s="37"/>
      <c r="B63" s="37"/>
      <c r="C63" s="39" t="s">
        <v>48</v>
      </c>
      <c r="D63" s="40" t="n">
        <v>17</v>
      </c>
      <c r="E63" s="41" t="s">
        <v>65</v>
      </c>
      <c r="F63" s="42" t="n">
        <v>3</v>
      </c>
      <c r="G63" s="43"/>
    </row>
    <row r="64" customFormat="false" ht="15" hidden="false" customHeight="false" outlineLevel="0" collapsed="false">
      <c r="A64" s="37"/>
      <c r="B64" s="37"/>
      <c r="C64" s="39" t="s">
        <v>52</v>
      </c>
      <c r="D64" s="40" t="n">
        <v>12</v>
      </c>
      <c r="E64" s="41" t="s">
        <v>73</v>
      </c>
      <c r="F64" s="42" t="n">
        <v>3</v>
      </c>
      <c r="G64" s="43"/>
    </row>
    <row r="65" customFormat="false" ht="15" hidden="false" customHeight="true" outlineLevel="0" collapsed="false">
      <c r="A65" s="37" t="s">
        <v>126</v>
      </c>
      <c r="B65" s="38" t="n">
        <v>153</v>
      </c>
      <c r="C65" s="39" t="s">
        <v>55</v>
      </c>
      <c r="D65" s="40" t="n">
        <v>126</v>
      </c>
      <c r="E65" s="41" t="s">
        <v>68</v>
      </c>
      <c r="F65" s="42" t="n">
        <v>76</v>
      </c>
      <c r="G65" s="43" t="n">
        <v>0.227272727272727</v>
      </c>
    </row>
    <row r="66" customFormat="false" ht="15" hidden="false" customHeight="false" outlineLevel="0" collapsed="false">
      <c r="A66" s="37"/>
      <c r="B66" s="37"/>
      <c r="C66" s="39" t="s">
        <v>46</v>
      </c>
      <c r="D66" s="40" t="n">
        <v>59</v>
      </c>
      <c r="E66" s="41" t="s">
        <v>64</v>
      </c>
      <c r="F66" s="42" t="n">
        <v>29</v>
      </c>
      <c r="G66" s="43"/>
    </row>
    <row r="67" customFormat="false" ht="15" hidden="false" customHeight="false" outlineLevel="0" collapsed="false">
      <c r="A67" s="37"/>
      <c r="B67" s="37"/>
      <c r="C67" s="39" t="s">
        <v>47</v>
      </c>
      <c r="D67" s="40" t="n">
        <v>42</v>
      </c>
      <c r="E67" s="41" t="s">
        <v>62</v>
      </c>
      <c r="F67" s="42" t="n">
        <v>8</v>
      </c>
      <c r="G67" s="43"/>
    </row>
    <row r="68" customFormat="false" ht="15" hidden="false" customHeight="false" outlineLevel="0" collapsed="false">
      <c r="A68" s="37"/>
      <c r="B68" s="37"/>
      <c r="C68" s="39" t="s">
        <v>49</v>
      </c>
      <c r="D68" s="40" t="n">
        <v>36</v>
      </c>
      <c r="E68" s="41" t="s">
        <v>73</v>
      </c>
      <c r="F68" s="42" t="n">
        <v>6</v>
      </c>
      <c r="G68" s="43"/>
    </row>
    <row r="69" customFormat="false" ht="15" hidden="false" customHeight="false" outlineLevel="0" collapsed="false">
      <c r="A69" s="37"/>
      <c r="B69" s="37"/>
      <c r="C69" s="39" t="s">
        <v>127</v>
      </c>
      <c r="D69" s="40" t="n">
        <v>27</v>
      </c>
      <c r="E69" s="41" t="s">
        <v>70</v>
      </c>
      <c r="F69" s="42" t="n">
        <v>5</v>
      </c>
      <c r="G69" s="43"/>
    </row>
    <row r="70" customFormat="false" ht="15" hidden="false" customHeight="false" outlineLevel="0" collapsed="false">
      <c r="A70" s="37"/>
      <c r="B70" s="37"/>
      <c r="C70" s="39" t="s">
        <v>96</v>
      </c>
      <c r="D70" s="40" t="n">
        <v>25</v>
      </c>
      <c r="E70" s="41" t="s">
        <v>63</v>
      </c>
      <c r="F70" s="42" t="n">
        <v>4</v>
      </c>
      <c r="G70" s="43"/>
    </row>
    <row r="71" customFormat="false" ht="15" hidden="false" customHeight="true" outlineLevel="0" collapsed="false">
      <c r="A71" s="37" t="s">
        <v>128</v>
      </c>
      <c r="B71" s="38" t="n">
        <v>118</v>
      </c>
      <c r="C71" s="39" t="s">
        <v>47</v>
      </c>
      <c r="D71" s="40" t="n">
        <v>55</v>
      </c>
      <c r="E71" s="41" t="s">
        <v>63</v>
      </c>
      <c r="F71" s="42" t="n">
        <v>6</v>
      </c>
      <c r="G71" s="43" t="n">
        <v>0.0239043824701195</v>
      </c>
    </row>
    <row r="72" customFormat="false" ht="15" hidden="false" customHeight="false" outlineLevel="0" collapsed="false">
      <c r="A72" s="37"/>
      <c r="B72" s="37"/>
      <c r="C72" s="39" t="s">
        <v>50</v>
      </c>
      <c r="D72" s="40" t="n">
        <v>55</v>
      </c>
      <c r="E72" s="45"/>
      <c r="F72" s="45"/>
      <c r="G72" s="43"/>
    </row>
    <row r="73" customFormat="false" ht="15" hidden="false" customHeight="false" outlineLevel="0" collapsed="false">
      <c r="A73" s="37"/>
      <c r="B73" s="37"/>
      <c r="C73" s="39" t="s">
        <v>46</v>
      </c>
      <c r="D73" s="40" t="n">
        <v>25</v>
      </c>
      <c r="E73" s="45"/>
      <c r="F73" s="45"/>
      <c r="G73" s="43"/>
    </row>
    <row r="74" customFormat="false" ht="15" hidden="false" customHeight="false" outlineLevel="0" collapsed="false">
      <c r="A74" s="37"/>
      <c r="B74" s="37"/>
      <c r="C74" s="39" t="s">
        <v>129</v>
      </c>
      <c r="D74" s="40" t="n">
        <v>19</v>
      </c>
      <c r="E74" s="45"/>
      <c r="F74" s="45"/>
      <c r="G74" s="43"/>
    </row>
    <row r="75" customFormat="false" ht="15" hidden="false" customHeight="false" outlineLevel="0" collapsed="false">
      <c r="A75" s="37"/>
      <c r="B75" s="37"/>
      <c r="C75" s="39" t="s">
        <v>51</v>
      </c>
      <c r="D75" s="40" t="n">
        <v>18</v>
      </c>
      <c r="E75" s="45"/>
      <c r="F75" s="45"/>
      <c r="G75" s="43"/>
    </row>
    <row r="76" customFormat="false" ht="15" hidden="false" customHeight="false" outlineLevel="0" collapsed="false">
      <c r="A76" s="37"/>
      <c r="B76" s="37"/>
      <c r="C76" s="39" t="s">
        <v>53</v>
      </c>
      <c r="D76" s="40" t="n">
        <v>12</v>
      </c>
      <c r="E76" s="45"/>
      <c r="F76" s="45"/>
      <c r="G76" s="43"/>
    </row>
    <row r="77" customFormat="false" ht="15" hidden="false" customHeight="true" outlineLevel="0" collapsed="false">
      <c r="A77" s="37" t="s">
        <v>130</v>
      </c>
      <c r="B77" s="38" t="n">
        <v>109</v>
      </c>
      <c r="C77" s="39" t="s">
        <v>47</v>
      </c>
      <c r="D77" s="40" t="n">
        <v>87</v>
      </c>
      <c r="E77" s="41" t="s">
        <v>62</v>
      </c>
      <c r="F77" s="42" t="n">
        <v>9</v>
      </c>
      <c r="G77" s="43" t="n">
        <v>0.0168855534709193</v>
      </c>
    </row>
    <row r="78" customFormat="false" ht="15" hidden="false" customHeight="false" outlineLevel="0" collapsed="false">
      <c r="A78" s="37"/>
      <c r="B78" s="37"/>
      <c r="C78" s="39" t="s">
        <v>46</v>
      </c>
      <c r="D78" s="40" t="n">
        <v>69</v>
      </c>
      <c r="E78" s="45"/>
      <c r="F78" s="45"/>
      <c r="G78" s="43"/>
    </row>
    <row r="79" customFormat="false" ht="15" hidden="false" customHeight="false" outlineLevel="0" collapsed="false">
      <c r="A79" s="37"/>
      <c r="B79" s="37"/>
      <c r="C79" s="39" t="s">
        <v>49</v>
      </c>
      <c r="D79" s="40" t="n">
        <v>64</v>
      </c>
      <c r="E79" s="45"/>
      <c r="F79" s="45"/>
      <c r="G79" s="43"/>
    </row>
    <row r="80" customFormat="false" ht="15" hidden="false" customHeight="false" outlineLevel="0" collapsed="false">
      <c r="A80" s="37"/>
      <c r="B80" s="37"/>
      <c r="C80" s="39" t="s">
        <v>50</v>
      </c>
      <c r="D80" s="40" t="n">
        <v>58</v>
      </c>
      <c r="E80" s="45"/>
      <c r="F80" s="45"/>
      <c r="G80" s="43"/>
    </row>
    <row r="81" customFormat="false" ht="15" hidden="false" customHeight="false" outlineLevel="0" collapsed="false">
      <c r="A81" s="37"/>
      <c r="B81" s="37"/>
      <c r="C81" s="39" t="s">
        <v>48</v>
      </c>
      <c r="D81" s="40" t="n">
        <v>44</v>
      </c>
      <c r="E81" s="45"/>
      <c r="F81" s="45"/>
      <c r="G81" s="43"/>
    </row>
    <row r="82" customFormat="false" ht="15" hidden="false" customHeight="false" outlineLevel="0" collapsed="false">
      <c r="A82" s="37"/>
      <c r="B82" s="37"/>
      <c r="C82" s="39" t="s">
        <v>127</v>
      </c>
      <c r="D82" s="40" t="n">
        <v>23</v>
      </c>
      <c r="E82" s="45"/>
      <c r="F82" s="45"/>
      <c r="G82" s="43"/>
    </row>
    <row r="83" customFormat="false" ht="15" hidden="false" customHeight="true" outlineLevel="0" collapsed="false">
      <c r="A83" s="37" t="s">
        <v>131</v>
      </c>
      <c r="B83" s="38" t="n">
        <v>100</v>
      </c>
      <c r="C83" s="39" t="s">
        <v>47</v>
      </c>
      <c r="D83" s="40" t="n">
        <v>85</v>
      </c>
      <c r="E83" s="41" t="s">
        <v>70</v>
      </c>
      <c r="F83" s="42" t="n">
        <v>46</v>
      </c>
      <c r="G83" s="44" t="n">
        <v>0.396728016359918</v>
      </c>
    </row>
    <row r="84" customFormat="false" ht="15" hidden="false" customHeight="false" outlineLevel="0" collapsed="false">
      <c r="A84" s="37"/>
      <c r="B84" s="37"/>
      <c r="C84" s="39" t="s">
        <v>46</v>
      </c>
      <c r="D84" s="40" t="n">
        <v>39</v>
      </c>
      <c r="E84" s="41" t="s">
        <v>72</v>
      </c>
      <c r="F84" s="42" t="n">
        <v>38</v>
      </c>
      <c r="G84" s="44"/>
    </row>
    <row r="85" customFormat="false" ht="15" hidden="false" customHeight="false" outlineLevel="0" collapsed="false">
      <c r="A85" s="37"/>
      <c r="B85" s="37"/>
      <c r="C85" s="39" t="s">
        <v>55</v>
      </c>
      <c r="D85" s="40" t="n">
        <v>30</v>
      </c>
      <c r="E85" s="41" t="s">
        <v>66</v>
      </c>
      <c r="F85" s="42" t="n">
        <v>27</v>
      </c>
      <c r="G85" s="44"/>
    </row>
    <row r="86" customFormat="false" ht="15" hidden="false" customHeight="false" outlineLevel="0" collapsed="false">
      <c r="A86" s="37"/>
      <c r="B86" s="37"/>
      <c r="C86" s="39" t="s">
        <v>48</v>
      </c>
      <c r="D86" s="40" t="n">
        <v>15</v>
      </c>
      <c r="E86" s="41" t="s">
        <v>64</v>
      </c>
      <c r="F86" s="42" t="n">
        <v>17</v>
      </c>
      <c r="G86" s="44"/>
    </row>
    <row r="87" customFormat="false" ht="15" hidden="false" customHeight="false" outlineLevel="0" collapsed="false">
      <c r="A87" s="37"/>
      <c r="B87" s="37"/>
      <c r="C87" s="39" t="s">
        <v>132</v>
      </c>
      <c r="D87" s="40" t="n">
        <v>13</v>
      </c>
      <c r="E87" s="41" t="s">
        <v>133</v>
      </c>
      <c r="F87" s="42" t="n">
        <v>12</v>
      </c>
      <c r="G87" s="44"/>
    </row>
    <row r="88" customFormat="false" ht="15" hidden="false" customHeight="false" outlineLevel="0" collapsed="false">
      <c r="A88" s="37"/>
      <c r="B88" s="37"/>
      <c r="C88" s="39" t="s">
        <v>52</v>
      </c>
      <c r="D88" s="40" t="n">
        <v>12</v>
      </c>
      <c r="E88" s="41" t="s">
        <v>65</v>
      </c>
      <c r="F88" s="42" t="n">
        <v>10</v>
      </c>
      <c r="G88" s="44"/>
    </row>
    <row r="89" customFormat="false" ht="15" hidden="false" customHeight="true" outlineLevel="0" collapsed="false">
      <c r="A89" s="37" t="s">
        <v>134</v>
      </c>
      <c r="B89" s="38" t="n">
        <v>93</v>
      </c>
      <c r="C89" s="39" t="s">
        <v>50</v>
      </c>
      <c r="D89" s="40" t="n">
        <v>27</v>
      </c>
      <c r="E89" s="41" t="s">
        <v>63</v>
      </c>
      <c r="F89" s="42" t="n">
        <v>9</v>
      </c>
      <c r="G89" s="43" t="n">
        <v>0.0927152317880795</v>
      </c>
    </row>
    <row r="90" customFormat="false" ht="15" hidden="false" customHeight="false" outlineLevel="0" collapsed="false">
      <c r="A90" s="37"/>
      <c r="B90" s="37"/>
      <c r="C90" s="39" t="s">
        <v>47</v>
      </c>
      <c r="D90" s="40" t="n">
        <v>25</v>
      </c>
      <c r="E90" s="41" t="s">
        <v>62</v>
      </c>
      <c r="F90" s="42" t="n">
        <v>3</v>
      </c>
      <c r="G90" s="43"/>
    </row>
    <row r="91" customFormat="false" ht="15" hidden="false" customHeight="false" outlineLevel="0" collapsed="false">
      <c r="A91" s="37"/>
      <c r="B91" s="37"/>
      <c r="C91" s="39" t="s">
        <v>46</v>
      </c>
      <c r="D91" s="40" t="n">
        <v>24</v>
      </c>
      <c r="E91" s="41" t="s">
        <v>72</v>
      </c>
      <c r="F91" s="42" t="n">
        <v>1</v>
      </c>
      <c r="G91" s="43"/>
    </row>
    <row r="92" customFormat="false" ht="15" hidden="false" customHeight="false" outlineLevel="0" collapsed="false">
      <c r="A92" s="37"/>
      <c r="B92" s="37"/>
      <c r="C92" s="39" t="s">
        <v>51</v>
      </c>
      <c r="D92" s="40" t="n">
        <v>17</v>
      </c>
      <c r="E92" s="41" t="s">
        <v>117</v>
      </c>
      <c r="F92" s="42" t="n">
        <v>1</v>
      </c>
      <c r="G92" s="43"/>
    </row>
    <row r="93" customFormat="false" ht="15" hidden="false" customHeight="false" outlineLevel="0" collapsed="false">
      <c r="A93" s="37"/>
      <c r="B93" s="37"/>
      <c r="C93" s="39" t="s">
        <v>48</v>
      </c>
      <c r="D93" s="40" t="n">
        <v>9</v>
      </c>
      <c r="E93" s="45"/>
      <c r="F93" s="45"/>
      <c r="G93" s="43"/>
    </row>
    <row r="94" customFormat="false" ht="15" hidden="false" customHeight="false" outlineLevel="0" collapsed="false">
      <c r="A94" s="37"/>
      <c r="B94" s="37"/>
      <c r="C94" s="39" t="s">
        <v>52</v>
      </c>
      <c r="D94" s="40" t="n">
        <v>6</v>
      </c>
      <c r="E94" s="45"/>
      <c r="F94" s="45"/>
      <c r="G94" s="43"/>
    </row>
  </sheetData>
  <mergeCells count="47">
    <mergeCell ref="A1:G1"/>
    <mergeCell ref="A2:G2"/>
    <mergeCell ref="A5:A10"/>
    <mergeCell ref="B5:B10"/>
    <mergeCell ref="G5:G10"/>
    <mergeCell ref="A11:A16"/>
    <mergeCell ref="B11:B16"/>
    <mergeCell ref="G11:G16"/>
    <mergeCell ref="A17:A22"/>
    <mergeCell ref="B17:B22"/>
    <mergeCell ref="G17:G22"/>
    <mergeCell ref="A23:A28"/>
    <mergeCell ref="B23:B28"/>
    <mergeCell ref="G23:G28"/>
    <mergeCell ref="A29:A34"/>
    <mergeCell ref="B29:B34"/>
    <mergeCell ref="G29:G34"/>
    <mergeCell ref="A35:A40"/>
    <mergeCell ref="B35:B40"/>
    <mergeCell ref="G35:G40"/>
    <mergeCell ref="A41:A46"/>
    <mergeCell ref="B41:B46"/>
    <mergeCell ref="G41:G46"/>
    <mergeCell ref="A47:A52"/>
    <mergeCell ref="B47:B52"/>
    <mergeCell ref="G47:G52"/>
    <mergeCell ref="A53:A58"/>
    <mergeCell ref="B53:B58"/>
    <mergeCell ref="G53:G58"/>
    <mergeCell ref="A59:A64"/>
    <mergeCell ref="B59:B64"/>
    <mergeCell ref="G59:G64"/>
    <mergeCell ref="A65:A70"/>
    <mergeCell ref="B65:B70"/>
    <mergeCell ref="G65:G70"/>
    <mergeCell ref="A71:A76"/>
    <mergeCell ref="B71:B76"/>
    <mergeCell ref="G71:G76"/>
    <mergeCell ref="A77:A82"/>
    <mergeCell ref="B77:B82"/>
    <mergeCell ref="G77:G82"/>
    <mergeCell ref="A83:A88"/>
    <mergeCell ref="B83:B88"/>
    <mergeCell ref="G83:G88"/>
    <mergeCell ref="A89:A94"/>
    <mergeCell ref="B89:B94"/>
    <mergeCell ref="G89:G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35" t="s">
        <v>135</v>
      </c>
      <c r="B1" s="35"/>
      <c r="C1" s="35"/>
      <c r="D1" s="35"/>
      <c r="E1" s="35"/>
      <c r="F1" s="35"/>
    </row>
    <row r="2" customFormat="false" ht="15" hidden="false" customHeight="false" outlineLevel="0" collapsed="false">
      <c r="A2" s="2" t="s">
        <v>136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46" t="s">
        <v>137</v>
      </c>
      <c r="B4" s="46"/>
      <c r="C4" s="46"/>
      <c r="D4" s="46"/>
      <c r="E4" s="46"/>
      <c r="F4" s="46"/>
    </row>
    <row r="5" customFormat="false" ht="30.55" hidden="false" customHeight="false" outlineLevel="0" collapsed="false">
      <c r="A5" s="4" t="s">
        <v>138</v>
      </c>
      <c r="B5" s="5" t="s">
        <v>139</v>
      </c>
      <c r="D5" s="4" t="s">
        <v>140</v>
      </c>
      <c r="E5" s="5" t="s">
        <v>139</v>
      </c>
    </row>
    <row r="6" customFormat="false" ht="15" hidden="false" customHeight="false" outlineLevel="0" collapsed="false">
      <c r="A6" s="39" t="s">
        <v>46</v>
      </c>
      <c r="B6" s="47" t="n">
        <v>1228</v>
      </c>
      <c r="D6" s="41" t="s">
        <v>62</v>
      </c>
      <c r="E6" s="48" t="n">
        <v>407</v>
      </c>
    </row>
    <row r="7" customFormat="false" ht="15" hidden="false" customHeight="false" outlineLevel="0" collapsed="false">
      <c r="A7" s="39" t="s">
        <v>48</v>
      </c>
      <c r="B7" s="47" t="n">
        <v>496</v>
      </c>
      <c r="D7" s="41" t="s">
        <v>63</v>
      </c>
      <c r="E7" s="48" t="n">
        <v>245</v>
      </c>
    </row>
    <row r="8" customFormat="false" ht="15" hidden="false" customHeight="false" outlineLevel="0" collapsed="false">
      <c r="A8" s="39" t="s">
        <v>47</v>
      </c>
      <c r="B8" s="47" t="n">
        <v>332</v>
      </c>
      <c r="D8" s="41" t="s">
        <v>64</v>
      </c>
      <c r="E8" s="48" t="n">
        <v>136</v>
      </c>
    </row>
    <row r="9" customFormat="false" ht="15" hidden="false" customHeight="false" outlineLevel="0" collapsed="false">
      <c r="A9" s="39" t="s">
        <v>49</v>
      </c>
      <c r="B9" s="47" t="n">
        <v>268</v>
      </c>
      <c r="D9" s="41" t="s">
        <v>65</v>
      </c>
      <c r="E9" s="48" t="n">
        <v>49</v>
      </c>
    </row>
    <row r="10" customFormat="false" ht="15" hidden="false" customHeight="false" outlineLevel="0" collapsed="false">
      <c r="A10" s="39" t="s">
        <v>51</v>
      </c>
      <c r="B10" s="47" t="n">
        <v>253</v>
      </c>
      <c r="D10" s="41" t="s">
        <v>67</v>
      </c>
      <c r="E10" s="48" t="n">
        <v>24</v>
      </c>
    </row>
    <row r="11" customFormat="false" ht="15" hidden="false" customHeight="false" outlineLevel="0" collapsed="false">
      <c r="A11" s="39" t="s">
        <v>50</v>
      </c>
      <c r="B11" s="47" t="n">
        <v>235</v>
      </c>
      <c r="D11" s="41" t="s">
        <v>69</v>
      </c>
      <c r="E11" s="48" t="n">
        <v>22</v>
      </c>
    </row>
    <row r="12" customFormat="false" ht="15" hidden="false" customHeight="false" outlineLevel="0" collapsed="false">
      <c r="A12" s="39" t="s">
        <v>52</v>
      </c>
      <c r="B12" s="47" t="n">
        <v>173</v>
      </c>
      <c r="D12" s="41" t="s">
        <v>73</v>
      </c>
      <c r="E12" s="48" t="n">
        <v>14</v>
      </c>
    </row>
    <row r="13" customFormat="false" ht="15" hidden="false" customHeight="false" outlineLevel="0" collapsed="false">
      <c r="A13" s="39" t="s">
        <v>60</v>
      </c>
      <c r="B13" s="47" t="n">
        <v>128</v>
      </c>
      <c r="D13" s="41" t="s">
        <v>66</v>
      </c>
      <c r="E13" s="48" t="n">
        <v>12</v>
      </c>
    </row>
    <row r="14" customFormat="false" ht="15" hidden="false" customHeight="false" outlineLevel="0" collapsed="false">
      <c r="A14" s="39" t="s">
        <v>59</v>
      </c>
      <c r="B14" s="47" t="n">
        <v>116</v>
      </c>
    </row>
    <row r="15" customFormat="false" ht="15" hidden="false" customHeight="false" outlineLevel="0" collapsed="false">
      <c r="A15" s="39" t="s">
        <v>54</v>
      </c>
      <c r="B15" s="47" t="n">
        <v>111</v>
      </c>
    </row>
    <row r="16" customFormat="false" ht="15" hidden="false" customHeight="false" outlineLevel="0" collapsed="false">
      <c r="A16" s="39" t="s">
        <v>56</v>
      </c>
      <c r="B16" s="47" t="n">
        <v>92</v>
      </c>
    </row>
    <row r="17" customFormat="false" ht="15" hidden="false" customHeight="false" outlineLevel="0" collapsed="false">
      <c r="A17" s="39" t="s">
        <v>53</v>
      </c>
      <c r="B17" s="47" t="n">
        <v>88</v>
      </c>
    </row>
    <row r="20" customFormat="false" ht="15" hidden="false" customHeight="false" outlineLevel="0" collapsed="false">
      <c r="A20" s="46" t="s">
        <v>141</v>
      </c>
      <c r="B20" s="46"/>
      <c r="C20" s="46"/>
      <c r="D20" s="46"/>
      <c r="E20" s="46"/>
      <c r="F20" s="46"/>
    </row>
    <row r="21" customFormat="false" ht="17.15" hidden="false" customHeight="false" outlineLevel="0" collapsed="false">
      <c r="A21" s="5" t="s">
        <v>142</v>
      </c>
      <c r="B21" s="5" t="s">
        <v>143</v>
      </c>
      <c r="C21" s="5" t="s">
        <v>144</v>
      </c>
      <c r="D21" s="5" t="s">
        <v>145</v>
      </c>
      <c r="E21" s="5" t="s">
        <v>146</v>
      </c>
    </row>
    <row r="22" customFormat="false" ht="26.85" hidden="false" customHeight="false" outlineLevel="0" collapsed="false">
      <c r="A22" s="7" t="s">
        <v>147</v>
      </c>
      <c r="B22" s="7" t="s">
        <v>148</v>
      </c>
      <c r="C22" s="7" t="s">
        <v>149</v>
      </c>
      <c r="D22" s="49" t="n">
        <v>432</v>
      </c>
      <c r="E22" s="50" t="n">
        <v>0.36</v>
      </c>
    </row>
    <row r="23" customFormat="false" ht="26.85" hidden="false" customHeight="false" outlineLevel="0" collapsed="false">
      <c r="A23" s="11" t="s">
        <v>147</v>
      </c>
      <c r="B23" s="11" t="s">
        <v>148</v>
      </c>
      <c r="C23" s="11" t="s">
        <v>150</v>
      </c>
      <c r="D23" s="51" t="n">
        <v>400</v>
      </c>
      <c r="E23" s="52" t="n">
        <v>0.33</v>
      </c>
    </row>
    <row r="24" customFormat="false" ht="26.85" hidden="false" customHeight="false" outlineLevel="0" collapsed="false">
      <c r="A24" s="7" t="s">
        <v>147</v>
      </c>
      <c r="B24" s="7" t="s">
        <v>148</v>
      </c>
      <c r="C24" s="7" t="s">
        <v>151</v>
      </c>
      <c r="D24" s="49" t="n">
        <v>264</v>
      </c>
      <c r="E24" s="50" t="n">
        <v>0.22</v>
      </c>
    </row>
    <row r="25" customFormat="false" ht="26.85" hidden="false" customHeight="false" outlineLevel="0" collapsed="false">
      <c r="A25" s="11" t="s">
        <v>147</v>
      </c>
      <c r="B25" s="11" t="s">
        <v>148</v>
      </c>
      <c r="C25" s="11" t="s">
        <v>152</v>
      </c>
      <c r="D25" s="51" t="n">
        <v>88</v>
      </c>
      <c r="E25" s="52" t="n">
        <v>0.07</v>
      </c>
    </row>
    <row r="26" customFormat="false" ht="15" hidden="false" customHeight="false" outlineLevel="0" collapsed="false">
      <c r="A26" s="7" t="s">
        <v>153</v>
      </c>
      <c r="B26" s="7" t="s">
        <v>154</v>
      </c>
      <c r="C26" s="53" t="s">
        <v>155</v>
      </c>
      <c r="D26" s="49" t="n">
        <v>6707</v>
      </c>
      <c r="E26" s="54" t="n">
        <v>0.73</v>
      </c>
    </row>
    <row r="27" customFormat="false" ht="15" hidden="false" customHeight="false" outlineLevel="0" collapsed="false">
      <c r="A27" s="11" t="s">
        <v>153</v>
      </c>
      <c r="B27" s="11" t="s">
        <v>154</v>
      </c>
      <c r="C27" s="11" t="s">
        <v>156</v>
      </c>
      <c r="D27" s="51" t="n">
        <v>2246</v>
      </c>
      <c r="E27" s="52" t="n">
        <v>0.24</v>
      </c>
    </row>
    <row r="28" customFormat="false" ht="15" hidden="false" customHeight="false" outlineLevel="0" collapsed="false">
      <c r="A28" s="7" t="s">
        <v>153</v>
      </c>
      <c r="B28" s="7" t="s">
        <v>154</v>
      </c>
      <c r="C28" s="7" t="s">
        <v>157</v>
      </c>
      <c r="D28" s="49" t="n">
        <v>132</v>
      </c>
      <c r="E28" s="50" t="n">
        <v>0.01</v>
      </c>
    </row>
    <row r="29" customFormat="false" ht="15" hidden="false" customHeight="false" outlineLevel="0" collapsed="false">
      <c r="A29" s="11" t="s">
        <v>158</v>
      </c>
      <c r="B29" s="11" t="s">
        <v>159</v>
      </c>
      <c r="C29" s="55" t="s">
        <v>160</v>
      </c>
      <c r="D29" s="51" t="n">
        <v>6819</v>
      </c>
      <c r="E29" s="56" t="n">
        <v>0.75</v>
      </c>
    </row>
    <row r="30" customFormat="false" ht="15" hidden="false" customHeight="false" outlineLevel="0" collapsed="false">
      <c r="A30" s="7" t="s">
        <v>158</v>
      </c>
      <c r="B30" s="7" t="s">
        <v>159</v>
      </c>
      <c r="C30" s="7" t="s">
        <v>156</v>
      </c>
      <c r="D30" s="49" t="n">
        <v>2209</v>
      </c>
      <c r="E30" s="50" t="n">
        <v>0.24</v>
      </c>
    </row>
    <row r="31" customFormat="false" ht="15" hidden="false" customHeight="false" outlineLevel="0" collapsed="false">
      <c r="A31" s="11" t="s">
        <v>158</v>
      </c>
      <c r="B31" s="11" t="s">
        <v>159</v>
      </c>
      <c r="C31" s="11" t="s">
        <v>161</v>
      </c>
      <c r="D31" s="51" t="n">
        <v>57</v>
      </c>
      <c r="E31" s="52" t="n">
        <v>0</v>
      </c>
    </row>
    <row r="32" customFormat="false" ht="15" hidden="false" customHeight="false" outlineLevel="0" collapsed="false">
      <c r="A32" s="7" t="s">
        <v>162</v>
      </c>
      <c r="B32" s="7" t="s">
        <v>163</v>
      </c>
      <c r="C32" s="53" t="s">
        <v>164</v>
      </c>
      <c r="D32" s="49" t="n">
        <v>712</v>
      </c>
      <c r="E32" s="54" t="n">
        <v>0.6</v>
      </c>
    </row>
    <row r="33" customFormat="false" ht="15" hidden="false" customHeight="false" outlineLevel="0" collapsed="false">
      <c r="A33" s="11" t="s">
        <v>162</v>
      </c>
      <c r="B33" s="11" t="s">
        <v>163</v>
      </c>
      <c r="C33" s="11" t="s">
        <v>165</v>
      </c>
      <c r="D33" s="51" t="n">
        <v>456</v>
      </c>
      <c r="E33" s="52" t="n">
        <v>0.38</v>
      </c>
    </row>
    <row r="34" customFormat="false" ht="15" hidden="false" customHeight="false" outlineLevel="0" collapsed="false">
      <c r="A34" s="7" t="s">
        <v>162</v>
      </c>
      <c r="B34" s="7" t="s">
        <v>163</v>
      </c>
      <c r="C34" s="7" t="s">
        <v>166</v>
      </c>
      <c r="D34" s="49" t="n">
        <v>16</v>
      </c>
      <c r="E34" s="50" t="n">
        <v>0.01</v>
      </c>
    </row>
    <row r="37" customFormat="false" ht="19.4" hidden="false" customHeight="false" outlineLevel="0" collapsed="false">
      <c r="A37" s="46" t="s">
        <v>167</v>
      </c>
      <c r="B37" s="46"/>
      <c r="C37" s="46"/>
      <c r="D37" s="46"/>
      <c r="E37" s="46"/>
      <c r="F37" s="46"/>
    </row>
    <row r="38" customFormat="false" ht="17.15" hidden="false" customHeight="false" outlineLevel="0" collapsed="false">
      <c r="A38" s="5" t="s">
        <v>168</v>
      </c>
      <c r="B38" s="5" t="s">
        <v>169</v>
      </c>
      <c r="C38" s="5" t="s">
        <v>170</v>
      </c>
      <c r="D38" s="5" t="s">
        <v>171</v>
      </c>
      <c r="E38" s="5" t="s">
        <v>172</v>
      </c>
    </row>
    <row r="39" customFormat="false" ht="15" hidden="false" customHeight="false" outlineLevel="0" collapsed="false">
      <c r="A39" s="55" t="s">
        <v>90</v>
      </c>
      <c r="B39" s="11" t="s">
        <v>173</v>
      </c>
      <c r="C39" s="51" t="n">
        <v>325</v>
      </c>
      <c r="D39" s="57" t="n">
        <v>35.3</v>
      </c>
      <c r="E39" s="57" t="n">
        <v>16.1</v>
      </c>
    </row>
    <row r="40" customFormat="false" ht="15" hidden="false" customHeight="false" outlineLevel="0" collapsed="false">
      <c r="A40" s="55" t="s">
        <v>51</v>
      </c>
      <c r="B40" s="58" t="s">
        <v>174</v>
      </c>
      <c r="C40" s="51" t="n">
        <v>222</v>
      </c>
      <c r="D40" s="57" t="n">
        <v>24.1</v>
      </c>
      <c r="E40" s="57" t="n">
        <v>16.1</v>
      </c>
    </row>
    <row r="41" customFormat="false" ht="15" hidden="false" customHeight="false" outlineLevel="0" collapsed="false">
      <c r="A41" s="55" t="s">
        <v>175</v>
      </c>
      <c r="B41" s="15" t="s">
        <v>176</v>
      </c>
      <c r="C41" s="51" t="n">
        <v>209</v>
      </c>
      <c r="D41" s="57" t="n">
        <v>22.7</v>
      </c>
      <c r="E41" s="57" t="n">
        <v>13.8</v>
      </c>
    </row>
    <row r="42" customFormat="false" ht="15" hidden="false" customHeight="false" outlineLevel="0" collapsed="false">
      <c r="A42" s="55" t="s">
        <v>91</v>
      </c>
      <c r="B42" s="11" t="s">
        <v>173</v>
      </c>
      <c r="C42" s="51" t="n">
        <v>198</v>
      </c>
      <c r="D42" s="57" t="n">
        <v>21.5</v>
      </c>
      <c r="E42" s="57" t="n">
        <v>13.8</v>
      </c>
    </row>
    <row r="43" customFormat="false" ht="15" hidden="false" customHeight="false" outlineLevel="0" collapsed="false">
      <c r="A43" s="55" t="s">
        <v>75</v>
      </c>
      <c r="B43" s="11" t="s">
        <v>173</v>
      </c>
      <c r="C43" s="51" t="n">
        <v>172</v>
      </c>
      <c r="D43" s="57" t="n">
        <v>18.7</v>
      </c>
      <c r="E43" s="57" t="n">
        <v>2.3</v>
      </c>
    </row>
    <row r="44" customFormat="false" ht="15" hidden="false" customHeight="false" outlineLevel="0" collapsed="false">
      <c r="A44" s="55" t="s">
        <v>92</v>
      </c>
      <c r="B44" s="11" t="s">
        <v>173</v>
      </c>
      <c r="C44" s="51" t="n">
        <v>109</v>
      </c>
      <c r="D44" s="57" t="n">
        <v>11.8</v>
      </c>
      <c r="E44" s="57" t="n">
        <v>0</v>
      </c>
    </row>
    <row r="45" customFormat="false" ht="15" hidden="false" customHeight="false" outlineLevel="0" collapsed="false">
      <c r="A45" s="55" t="s">
        <v>94</v>
      </c>
      <c r="B45" s="11" t="s">
        <v>173</v>
      </c>
      <c r="C45" s="51" t="n">
        <v>108</v>
      </c>
      <c r="D45" s="57" t="n">
        <v>11.7</v>
      </c>
      <c r="E45" s="57" t="n">
        <v>2.3</v>
      </c>
    </row>
    <row r="46" customFormat="false" ht="15" hidden="false" customHeight="false" outlineLevel="0" collapsed="false">
      <c r="A46" s="55" t="s">
        <v>64</v>
      </c>
      <c r="B46" s="15" t="s">
        <v>176</v>
      </c>
      <c r="C46" s="51" t="n">
        <v>108</v>
      </c>
      <c r="D46" s="57" t="n">
        <v>11.7</v>
      </c>
      <c r="E46" s="57" t="n">
        <v>9.2</v>
      </c>
    </row>
    <row r="47" customFormat="false" ht="15" hidden="false" customHeight="false" outlineLevel="0" collapsed="false">
      <c r="A47" s="55" t="s">
        <v>93</v>
      </c>
      <c r="B47" s="11" t="s">
        <v>173</v>
      </c>
      <c r="C47" s="51" t="n">
        <v>87</v>
      </c>
      <c r="D47" s="57" t="n">
        <v>9.4</v>
      </c>
      <c r="E47" s="57" t="n">
        <v>2.3</v>
      </c>
    </row>
    <row r="48" customFormat="false" ht="15" hidden="false" customHeight="false" outlineLevel="0" collapsed="false">
      <c r="A48" s="55" t="s">
        <v>177</v>
      </c>
      <c r="B48" s="11" t="s">
        <v>173</v>
      </c>
      <c r="C48" s="51" t="n">
        <v>86</v>
      </c>
      <c r="D48" s="57" t="n">
        <v>9.3</v>
      </c>
      <c r="E48" s="57" t="n">
        <v>6.9</v>
      </c>
    </row>
    <row r="49" customFormat="false" ht="15" hidden="false" customHeight="false" outlineLevel="0" collapsed="false">
      <c r="A49" s="55" t="s">
        <v>178</v>
      </c>
      <c r="B49" s="11" t="s">
        <v>173</v>
      </c>
      <c r="C49" s="51" t="n">
        <v>79</v>
      </c>
      <c r="D49" s="57" t="n">
        <v>8.6</v>
      </c>
      <c r="E49" s="57" t="n">
        <v>0</v>
      </c>
    </row>
    <row r="50" customFormat="false" ht="15" hidden="false" customHeight="false" outlineLevel="0" collapsed="false">
      <c r="A50" s="55" t="s">
        <v>179</v>
      </c>
      <c r="B50" s="11" t="s">
        <v>173</v>
      </c>
      <c r="C50" s="51" t="n">
        <v>67</v>
      </c>
      <c r="D50" s="57" t="n">
        <v>7.3</v>
      </c>
      <c r="E50" s="57" t="n">
        <v>2.3</v>
      </c>
    </row>
    <row r="51" customFormat="false" ht="15" hidden="false" customHeight="false" outlineLevel="0" collapsed="false">
      <c r="A51" s="55" t="s">
        <v>180</v>
      </c>
      <c r="B51" s="11" t="s">
        <v>173</v>
      </c>
      <c r="C51" s="51" t="n">
        <v>51</v>
      </c>
      <c r="D51" s="57" t="n">
        <v>5.5</v>
      </c>
      <c r="E51" s="57" t="n">
        <v>0</v>
      </c>
    </row>
    <row r="52" customFormat="false" ht="15" hidden="false" customHeight="false" outlineLevel="0" collapsed="false">
      <c r="A52" s="55" t="s">
        <v>65</v>
      </c>
      <c r="B52" s="15" t="s">
        <v>176</v>
      </c>
      <c r="C52" s="51" t="n">
        <v>47</v>
      </c>
      <c r="D52" s="57" t="n">
        <v>5.1</v>
      </c>
      <c r="E52" s="57" t="n">
        <v>0</v>
      </c>
    </row>
    <row r="53" customFormat="false" ht="15" hidden="false" customHeight="false" outlineLevel="0" collapsed="false">
      <c r="A53" s="55" t="s">
        <v>181</v>
      </c>
      <c r="B53" s="11" t="s">
        <v>173</v>
      </c>
      <c r="C53" s="51" t="n">
        <v>43</v>
      </c>
      <c r="D53" s="57" t="n">
        <v>4.7</v>
      </c>
      <c r="E53" s="57" t="n">
        <v>0</v>
      </c>
    </row>
    <row r="56" customFormat="false" ht="15" hidden="false" customHeight="false" outlineLevel="0" collapsed="false">
      <c r="A56" s="46" t="s">
        <v>182</v>
      </c>
      <c r="B56" s="46"/>
      <c r="C56" s="46"/>
      <c r="D56" s="46"/>
      <c r="E56" s="46"/>
      <c r="F56" s="46"/>
    </row>
    <row r="57" customFormat="false" ht="17.15" hidden="false" customHeight="false" outlineLevel="0" collapsed="false">
      <c r="A57" s="5" t="s">
        <v>183</v>
      </c>
      <c r="B57" s="5" t="s">
        <v>184</v>
      </c>
      <c r="C57" s="5" t="s">
        <v>185</v>
      </c>
    </row>
    <row r="58" customFormat="false" ht="15" hidden="false" customHeight="false" outlineLevel="0" collapsed="false">
      <c r="A58" s="11" t="s">
        <v>52</v>
      </c>
      <c r="B58" s="51" t="n">
        <v>95</v>
      </c>
      <c r="C58" s="59" t="n">
        <f aca="false">B58/3334</f>
        <v>0.028494301139772</v>
      </c>
    </row>
    <row r="59" customFormat="false" ht="15" hidden="false" customHeight="false" outlineLevel="0" collapsed="false">
      <c r="A59" s="11" t="s">
        <v>73</v>
      </c>
      <c r="B59" s="51" t="n">
        <v>44</v>
      </c>
      <c r="C59" s="59" t="n">
        <f aca="false">B59/3334</f>
        <v>0.0131973605278944</v>
      </c>
    </row>
    <row r="60" customFormat="false" ht="15" hidden="false" customHeight="false" outlineLevel="0" collapsed="false">
      <c r="A60" s="11" t="s">
        <v>96</v>
      </c>
      <c r="B60" s="51" t="n">
        <v>29</v>
      </c>
      <c r="C60" s="59" t="n">
        <f aca="false">B60/3334</f>
        <v>0.00869826034793042</v>
      </c>
    </row>
    <row r="61" customFormat="false" ht="15" hidden="false" customHeight="false" outlineLevel="0" collapsed="false">
      <c r="A61" s="11" t="s">
        <v>97</v>
      </c>
      <c r="B61" s="51" t="n">
        <v>23</v>
      </c>
      <c r="C61" s="59" t="n">
        <f aca="false">B61/3334</f>
        <v>0.00689862027594481</v>
      </c>
    </row>
    <row r="62" customFormat="false" ht="15" hidden="false" customHeight="false" outlineLevel="0" collapsed="false">
      <c r="A62" s="11" t="s">
        <v>99</v>
      </c>
      <c r="B62" s="51" t="n">
        <v>8</v>
      </c>
      <c r="C62" s="59" t="n">
        <f aca="false">B62/3334</f>
        <v>0.0023995200959808</v>
      </c>
    </row>
    <row r="63" customFormat="false" ht="15" hidden="false" customHeight="false" outlineLevel="0" collapsed="false">
      <c r="A63" s="11" t="s">
        <v>100</v>
      </c>
      <c r="B63" s="51" t="n">
        <v>8</v>
      </c>
      <c r="C63" s="59" t="n">
        <f aca="false">B63/3334</f>
        <v>0.0023995200959808</v>
      </c>
    </row>
    <row r="64" customFormat="false" ht="15" hidden="false" customHeight="false" outlineLevel="0" collapsed="false">
      <c r="A64" s="11" t="s">
        <v>50</v>
      </c>
      <c r="B64" s="51" t="n">
        <v>2</v>
      </c>
      <c r="C64" s="59" t="n">
        <f aca="false">B64/3334</f>
        <v>0.000599880023995201</v>
      </c>
    </row>
    <row r="65" customFormat="false" ht="15" hidden="false" customHeight="false" outlineLevel="0" collapsed="false">
      <c r="A65" s="11" t="s">
        <v>102</v>
      </c>
      <c r="B65" s="51" t="n">
        <v>2</v>
      </c>
      <c r="C65" s="59" t="n">
        <f aca="false">B65/3334</f>
        <v>0.000599880023995201</v>
      </c>
    </row>
    <row r="66" customFormat="false" ht="15" hidden="false" customHeight="false" outlineLevel="0" collapsed="false">
      <c r="A66" s="11" t="s">
        <v>101</v>
      </c>
      <c r="B66" s="51" t="n">
        <v>1</v>
      </c>
      <c r="C66" s="59" t="n">
        <f aca="false">B66/3334</f>
        <v>0.0002999400119976</v>
      </c>
    </row>
    <row r="69" customFormat="false" ht="19.4" hidden="false" customHeight="false" outlineLevel="0" collapsed="false">
      <c r="A69" s="46" t="s">
        <v>186</v>
      </c>
      <c r="B69" s="46"/>
      <c r="C69" s="46"/>
      <c r="D69" s="46"/>
      <c r="E69" s="46"/>
      <c r="F69" s="46"/>
    </row>
    <row r="70" customFormat="false" ht="17.15" hidden="false" customHeight="false" outlineLevel="0" collapsed="false">
      <c r="A70" s="5" t="s">
        <v>187</v>
      </c>
      <c r="B70" s="5" t="s">
        <v>184</v>
      </c>
      <c r="C70" s="5" t="s">
        <v>185</v>
      </c>
    </row>
    <row r="71" customFormat="false" ht="15" hidden="false" customHeight="false" outlineLevel="0" collapsed="false">
      <c r="A71" s="11" t="s">
        <v>75</v>
      </c>
      <c r="B71" s="51" t="n">
        <v>216</v>
      </c>
      <c r="C71" s="59" t="n">
        <f aca="false">B71/3334</f>
        <v>0.0647870425914817</v>
      </c>
    </row>
    <row r="72" customFormat="false" ht="15" hidden="false" customHeight="false" outlineLevel="0" collapsed="false">
      <c r="A72" s="11" t="s">
        <v>76</v>
      </c>
      <c r="B72" s="51" t="n">
        <v>126</v>
      </c>
      <c r="C72" s="59" t="n">
        <f aca="false">B72/3334</f>
        <v>0.0377924415116977</v>
      </c>
    </row>
    <row r="73" customFormat="false" ht="15" hidden="false" customHeight="false" outlineLevel="0" collapsed="false">
      <c r="A73" s="11" t="s">
        <v>77</v>
      </c>
      <c r="B73" s="51" t="n">
        <v>97</v>
      </c>
      <c r="C73" s="59" t="n">
        <f aca="false">B73/3334</f>
        <v>0.0290941811637672</v>
      </c>
    </row>
    <row r="74" customFormat="false" ht="15" hidden="false" customHeight="false" outlineLevel="0" collapsed="false">
      <c r="A74" s="11" t="s">
        <v>78</v>
      </c>
      <c r="B74" s="51" t="n">
        <v>19</v>
      </c>
      <c r="C74" s="59" t="n">
        <f aca="false">B74/3334</f>
        <v>0.00569886022795441</v>
      </c>
    </row>
    <row r="75" customFormat="false" ht="15" hidden="false" customHeight="false" outlineLevel="0" collapsed="false">
      <c r="A75" s="11" t="s">
        <v>81</v>
      </c>
      <c r="B75" s="51" t="n">
        <v>15</v>
      </c>
      <c r="C75" s="59" t="n">
        <f aca="false">B75/3334</f>
        <v>0.00449910017996401</v>
      </c>
    </row>
    <row r="76" customFormat="false" ht="15" hidden="false" customHeight="false" outlineLevel="0" collapsed="false">
      <c r="A76" s="11" t="s">
        <v>80</v>
      </c>
      <c r="B76" s="51" t="n">
        <v>12</v>
      </c>
      <c r="C76" s="59" t="n">
        <f aca="false">B76/3334</f>
        <v>0.00359928014397121</v>
      </c>
    </row>
    <row r="77" customFormat="false" ht="15" hidden="false" customHeight="false" outlineLevel="0" collapsed="false">
      <c r="A77" s="11" t="s">
        <v>79</v>
      </c>
      <c r="B77" s="51" t="n">
        <v>12</v>
      </c>
      <c r="C77" s="59" t="n">
        <f aca="false">B77/3334</f>
        <v>0.00359928014397121</v>
      </c>
    </row>
    <row r="78" customFormat="false" ht="15" hidden="false" customHeight="false" outlineLevel="0" collapsed="false">
      <c r="A78" s="11" t="s">
        <v>83</v>
      </c>
      <c r="B78" s="51" t="n">
        <v>7</v>
      </c>
      <c r="C78" s="59" t="n">
        <f aca="false">B78/3334</f>
        <v>0.0020995800839832</v>
      </c>
    </row>
    <row r="79" customFormat="false" ht="15" hidden="false" customHeight="false" outlineLevel="0" collapsed="false">
      <c r="A79" s="11" t="s">
        <v>82</v>
      </c>
      <c r="B79" s="51" t="n">
        <v>7</v>
      </c>
      <c r="C79" s="59" t="n">
        <f aca="false">B79/3334</f>
        <v>0.0020995800839832</v>
      </c>
    </row>
    <row r="80" customFormat="false" ht="15" hidden="false" customHeight="false" outlineLevel="0" collapsed="false">
      <c r="A80" s="11" t="s">
        <v>84</v>
      </c>
      <c r="B80" s="51" t="n">
        <v>4</v>
      </c>
      <c r="C80" s="59" t="n">
        <f aca="false">B80/3334</f>
        <v>0.0011997600479904</v>
      </c>
    </row>
    <row r="81" customFormat="false" ht="15" hidden="false" customHeight="false" outlineLevel="0" collapsed="false">
      <c r="A81" s="11" t="s">
        <v>85</v>
      </c>
      <c r="B81" s="51" t="n">
        <v>4</v>
      </c>
      <c r="C81" s="59" t="n">
        <f aca="false">B81/3334</f>
        <v>0.0011997600479904</v>
      </c>
    </row>
    <row r="82" customFormat="false" ht="15" hidden="false" customHeight="false" outlineLevel="0" collapsed="false">
      <c r="A82" s="11" t="s">
        <v>87</v>
      </c>
      <c r="B82" s="51" t="n">
        <v>2</v>
      </c>
      <c r="C82" s="59" t="n">
        <f aca="false">B82/3334</f>
        <v>0.000599880023995201</v>
      </c>
    </row>
    <row r="83" customFormat="false" ht="15" hidden="false" customHeight="false" outlineLevel="0" collapsed="false">
      <c r="A83" s="11" t="s">
        <v>86</v>
      </c>
      <c r="B83" s="51" t="n">
        <v>1</v>
      </c>
      <c r="C83" s="59" t="n">
        <f aca="false">B83/3334</f>
        <v>0.0002999400119976</v>
      </c>
    </row>
    <row r="86" customFormat="false" ht="19.4" hidden="false" customHeight="false" outlineLevel="0" collapsed="false">
      <c r="A86" s="46" t="s">
        <v>188</v>
      </c>
      <c r="B86" s="46"/>
      <c r="C86" s="46"/>
      <c r="D86" s="46"/>
      <c r="E86" s="46"/>
      <c r="F86" s="46"/>
    </row>
    <row r="87" customFormat="false" ht="42" hidden="false" customHeight="true" outlineLevel="0" collapsed="false">
      <c r="A87" s="60" t="s">
        <v>189</v>
      </c>
      <c r="B87" s="61" t="s">
        <v>190</v>
      </c>
      <c r="C87" s="61"/>
      <c r="D87" s="61"/>
      <c r="E87" s="61"/>
      <c r="F87" s="61"/>
    </row>
    <row r="88" customFormat="false" ht="42" hidden="false" customHeight="true" outlineLevel="0" collapsed="false">
      <c r="A88" s="60" t="s">
        <v>189</v>
      </c>
      <c r="B88" s="61" t="s">
        <v>191</v>
      </c>
      <c r="C88" s="61"/>
      <c r="D88" s="61"/>
      <c r="E88" s="61"/>
      <c r="F88" s="61"/>
    </row>
    <row r="89" customFormat="false" ht="42" hidden="false" customHeight="true" outlineLevel="0" collapsed="false">
      <c r="A89" s="60" t="s">
        <v>189</v>
      </c>
      <c r="B89" s="61" t="s">
        <v>192</v>
      </c>
      <c r="C89" s="61"/>
      <c r="D89" s="61"/>
      <c r="E89" s="61"/>
      <c r="F89" s="61"/>
    </row>
    <row r="90" customFormat="false" ht="42" hidden="false" customHeight="true" outlineLevel="0" collapsed="false">
      <c r="A90" s="60" t="s">
        <v>189</v>
      </c>
      <c r="B90" s="61" t="s">
        <v>193</v>
      </c>
      <c r="C90" s="61"/>
      <c r="D90" s="61"/>
      <c r="E90" s="61"/>
      <c r="F90" s="61"/>
    </row>
    <row r="91" customFormat="false" ht="42" hidden="false" customHeight="true" outlineLevel="0" collapsed="false">
      <c r="A91" s="60" t="s">
        <v>189</v>
      </c>
      <c r="B91" s="61"/>
      <c r="C91" s="61"/>
      <c r="D91" s="61"/>
      <c r="E91" s="61"/>
      <c r="F91" s="61"/>
    </row>
  </sheetData>
  <mergeCells count="13">
    <mergeCell ref="A1:F1"/>
    <mergeCell ref="A2:F2"/>
    <mergeCell ref="A4:F4"/>
    <mergeCell ref="A20:F20"/>
    <mergeCell ref="A37:F37"/>
    <mergeCell ref="A56:F56"/>
    <mergeCell ref="A69:F69"/>
    <mergeCell ref="A86:F86"/>
    <mergeCell ref="B87:F87"/>
    <mergeCell ref="B88:F88"/>
    <mergeCell ref="B89:F89"/>
    <mergeCell ref="B90:F90"/>
    <mergeCell ref="B91:F9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35" t="s">
        <v>194</v>
      </c>
      <c r="B1" s="35"/>
      <c r="C1" s="35"/>
      <c r="D1" s="35"/>
      <c r="E1" s="35"/>
      <c r="F1" s="35"/>
    </row>
    <row r="2" customFormat="false" ht="15" hidden="false" customHeight="false" outlineLevel="0" collapsed="false">
      <c r="A2" s="2" t="s">
        <v>195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46" t="s">
        <v>137</v>
      </c>
      <c r="B4" s="46"/>
      <c r="C4" s="46"/>
      <c r="D4" s="46"/>
      <c r="E4" s="46"/>
      <c r="F4" s="46"/>
    </row>
    <row r="5" customFormat="false" ht="30.55" hidden="false" customHeight="false" outlineLevel="0" collapsed="false">
      <c r="A5" s="4" t="s">
        <v>138</v>
      </c>
      <c r="B5" s="5" t="s">
        <v>139</v>
      </c>
      <c r="D5" s="4" t="s">
        <v>140</v>
      </c>
      <c r="E5" s="5" t="s">
        <v>139</v>
      </c>
    </row>
    <row r="6" customFormat="false" ht="15" hidden="false" customHeight="false" outlineLevel="0" collapsed="false">
      <c r="A6" s="39" t="s">
        <v>46</v>
      </c>
      <c r="B6" s="47" t="n">
        <v>842</v>
      </c>
      <c r="D6" s="41" t="s">
        <v>62</v>
      </c>
      <c r="E6" s="48" t="n">
        <v>231</v>
      </c>
    </row>
    <row r="7" customFormat="false" ht="15" hidden="false" customHeight="false" outlineLevel="0" collapsed="false">
      <c r="A7" s="39" t="s">
        <v>47</v>
      </c>
      <c r="B7" s="47" t="n">
        <v>310</v>
      </c>
      <c r="D7" s="41" t="s">
        <v>63</v>
      </c>
      <c r="E7" s="48" t="n">
        <v>146</v>
      </c>
    </row>
    <row r="8" customFormat="false" ht="15" hidden="false" customHeight="false" outlineLevel="0" collapsed="false">
      <c r="A8" s="39" t="s">
        <v>48</v>
      </c>
      <c r="B8" s="47" t="n">
        <v>304</v>
      </c>
      <c r="D8" s="41" t="s">
        <v>65</v>
      </c>
      <c r="E8" s="48" t="n">
        <v>85</v>
      </c>
    </row>
    <row r="9" customFormat="false" ht="15" hidden="false" customHeight="false" outlineLevel="0" collapsed="false">
      <c r="A9" s="39" t="s">
        <v>49</v>
      </c>
      <c r="B9" s="47" t="n">
        <v>282</v>
      </c>
      <c r="D9" s="41" t="s">
        <v>64</v>
      </c>
      <c r="E9" s="48" t="n">
        <v>40</v>
      </c>
    </row>
    <row r="10" customFormat="false" ht="15" hidden="false" customHeight="false" outlineLevel="0" collapsed="false">
      <c r="A10" s="39" t="s">
        <v>52</v>
      </c>
      <c r="B10" s="47" t="n">
        <v>190</v>
      </c>
      <c r="D10" s="41" t="s">
        <v>69</v>
      </c>
      <c r="E10" s="48" t="n">
        <v>19</v>
      </c>
    </row>
    <row r="11" customFormat="false" ht="15" hidden="false" customHeight="false" outlineLevel="0" collapsed="false">
      <c r="A11" s="39" t="s">
        <v>51</v>
      </c>
      <c r="B11" s="47" t="n">
        <v>169</v>
      </c>
      <c r="D11" s="41" t="s">
        <v>67</v>
      </c>
      <c r="E11" s="48" t="n">
        <v>14</v>
      </c>
    </row>
    <row r="12" customFormat="false" ht="15" hidden="false" customHeight="false" outlineLevel="0" collapsed="false">
      <c r="A12" s="39" t="s">
        <v>50</v>
      </c>
      <c r="B12" s="47" t="n">
        <v>154</v>
      </c>
      <c r="D12" s="41" t="s">
        <v>73</v>
      </c>
      <c r="E12" s="48" t="n">
        <v>6</v>
      </c>
    </row>
    <row r="13" customFormat="false" ht="15" hidden="false" customHeight="false" outlineLevel="0" collapsed="false">
      <c r="A13" s="39" t="s">
        <v>57</v>
      </c>
      <c r="B13" s="47" t="n">
        <v>108</v>
      </c>
      <c r="D13" s="41" t="s">
        <v>66</v>
      </c>
      <c r="E13" s="48" t="n">
        <v>6</v>
      </c>
    </row>
    <row r="14" customFormat="false" ht="15" hidden="false" customHeight="false" outlineLevel="0" collapsed="false">
      <c r="A14" s="39" t="s">
        <v>58</v>
      </c>
      <c r="B14" s="47" t="n">
        <v>97</v>
      </c>
    </row>
    <row r="15" customFormat="false" ht="15" hidden="false" customHeight="false" outlineLevel="0" collapsed="false">
      <c r="A15" s="39" t="s">
        <v>53</v>
      </c>
      <c r="B15" s="47" t="n">
        <v>90</v>
      </c>
    </row>
    <row r="16" customFormat="false" ht="15" hidden="false" customHeight="false" outlineLevel="0" collapsed="false">
      <c r="A16" s="39" t="s">
        <v>54</v>
      </c>
      <c r="B16" s="47" t="n">
        <v>71</v>
      </c>
    </row>
    <row r="17" customFormat="false" ht="15" hidden="false" customHeight="false" outlineLevel="0" collapsed="false">
      <c r="A17" s="39" t="s">
        <v>56</v>
      </c>
      <c r="B17" s="47" t="n">
        <v>52</v>
      </c>
    </row>
    <row r="20" customFormat="false" ht="15" hidden="false" customHeight="false" outlineLevel="0" collapsed="false">
      <c r="A20" s="46" t="s">
        <v>141</v>
      </c>
      <c r="B20" s="46"/>
      <c r="C20" s="46"/>
      <c r="D20" s="46"/>
      <c r="E20" s="46"/>
      <c r="F20" s="46"/>
    </row>
    <row r="21" customFormat="false" ht="17.15" hidden="false" customHeight="false" outlineLevel="0" collapsed="false">
      <c r="A21" s="5" t="s">
        <v>142</v>
      </c>
      <c r="B21" s="5" t="s">
        <v>143</v>
      </c>
      <c r="C21" s="5" t="s">
        <v>144</v>
      </c>
      <c r="D21" s="5" t="s">
        <v>145</v>
      </c>
      <c r="E21" s="5" t="s">
        <v>146</v>
      </c>
    </row>
    <row r="22" customFormat="false" ht="26.85" hidden="false" customHeight="false" outlineLevel="0" collapsed="false">
      <c r="A22" s="7" t="s">
        <v>147</v>
      </c>
      <c r="B22" s="7" t="s">
        <v>148</v>
      </c>
      <c r="C22" s="7" t="s">
        <v>149</v>
      </c>
      <c r="D22" s="49" t="n">
        <v>700</v>
      </c>
      <c r="E22" s="50" t="n">
        <v>0.43</v>
      </c>
    </row>
    <row r="23" customFormat="false" ht="26.85" hidden="false" customHeight="false" outlineLevel="0" collapsed="false">
      <c r="A23" s="11" t="s">
        <v>147</v>
      </c>
      <c r="B23" s="11" t="s">
        <v>148</v>
      </c>
      <c r="C23" s="11" t="s">
        <v>150</v>
      </c>
      <c r="D23" s="51" t="n">
        <v>388</v>
      </c>
      <c r="E23" s="52" t="n">
        <v>0.23</v>
      </c>
    </row>
    <row r="24" customFormat="false" ht="26.85" hidden="false" customHeight="false" outlineLevel="0" collapsed="false">
      <c r="A24" s="7" t="s">
        <v>147</v>
      </c>
      <c r="B24" s="7" t="s">
        <v>148</v>
      </c>
      <c r="C24" s="7" t="s">
        <v>151</v>
      </c>
      <c r="D24" s="49" t="n">
        <v>336</v>
      </c>
      <c r="E24" s="50" t="n">
        <v>0.2</v>
      </c>
    </row>
    <row r="25" customFormat="false" ht="26.85" hidden="false" customHeight="false" outlineLevel="0" collapsed="false">
      <c r="A25" s="11" t="s">
        <v>147</v>
      </c>
      <c r="B25" s="11" t="s">
        <v>148</v>
      </c>
      <c r="C25" s="11" t="s">
        <v>152</v>
      </c>
      <c r="D25" s="51" t="n">
        <v>196</v>
      </c>
      <c r="E25" s="52" t="n">
        <v>0.12</v>
      </c>
    </row>
    <row r="26" customFormat="false" ht="15" hidden="false" customHeight="false" outlineLevel="0" collapsed="false">
      <c r="A26" s="7" t="s">
        <v>153</v>
      </c>
      <c r="B26" s="7" t="s">
        <v>154</v>
      </c>
      <c r="C26" s="53" t="s">
        <v>155</v>
      </c>
      <c r="D26" s="49" t="n">
        <v>5439</v>
      </c>
      <c r="E26" s="54" t="n">
        <v>0.76</v>
      </c>
    </row>
    <row r="27" customFormat="false" ht="15" hidden="false" customHeight="false" outlineLevel="0" collapsed="false">
      <c r="A27" s="11" t="s">
        <v>153</v>
      </c>
      <c r="B27" s="11" t="s">
        <v>154</v>
      </c>
      <c r="C27" s="11" t="s">
        <v>156</v>
      </c>
      <c r="D27" s="51" t="n">
        <v>1636</v>
      </c>
      <c r="E27" s="52" t="n">
        <v>0.22</v>
      </c>
    </row>
    <row r="28" customFormat="false" ht="15" hidden="false" customHeight="false" outlineLevel="0" collapsed="false">
      <c r="A28" s="7" t="s">
        <v>153</v>
      </c>
      <c r="B28" s="7" t="s">
        <v>154</v>
      </c>
      <c r="C28" s="7" t="s">
        <v>157</v>
      </c>
      <c r="D28" s="49" t="n">
        <v>57</v>
      </c>
      <c r="E28" s="50" t="n">
        <v>0</v>
      </c>
    </row>
    <row r="29" customFormat="false" ht="15" hidden="false" customHeight="false" outlineLevel="0" collapsed="false">
      <c r="A29" s="11" t="s">
        <v>158</v>
      </c>
      <c r="B29" s="11" t="s">
        <v>159</v>
      </c>
      <c r="C29" s="55" t="s">
        <v>160</v>
      </c>
      <c r="D29" s="51" t="n">
        <v>5440</v>
      </c>
      <c r="E29" s="56" t="n">
        <v>0.76</v>
      </c>
    </row>
    <row r="30" customFormat="false" ht="15" hidden="false" customHeight="false" outlineLevel="0" collapsed="false">
      <c r="A30" s="7" t="s">
        <v>158</v>
      </c>
      <c r="B30" s="7" t="s">
        <v>159</v>
      </c>
      <c r="C30" s="7" t="s">
        <v>156</v>
      </c>
      <c r="D30" s="49" t="n">
        <v>1632</v>
      </c>
      <c r="E30" s="50" t="n">
        <v>0.22</v>
      </c>
    </row>
    <row r="31" customFormat="false" ht="15" hidden="false" customHeight="false" outlineLevel="0" collapsed="false">
      <c r="A31" s="11" t="s">
        <v>158</v>
      </c>
      <c r="B31" s="11" t="s">
        <v>159</v>
      </c>
      <c r="C31" s="11" t="s">
        <v>161</v>
      </c>
      <c r="D31" s="51" t="n">
        <v>60</v>
      </c>
      <c r="E31" s="52" t="n">
        <v>0</v>
      </c>
    </row>
    <row r="32" customFormat="false" ht="15" hidden="false" customHeight="false" outlineLevel="0" collapsed="false">
      <c r="A32" s="7" t="s">
        <v>162</v>
      </c>
      <c r="B32" s="7" t="s">
        <v>163</v>
      </c>
      <c r="C32" s="53" t="s">
        <v>164</v>
      </c>
      <c r="D32" s="49" t="n">
        <v>892</v>
      </c>
      <c r="E32" s="54" t="n">
        <v>0.55</v>
      </c>
    </row>
    <row r="33" customFormat="false" ht="15" hidden="false" customHeight="false" outlineLevel="0" collapsed="false">
      <c r="A33" s="11" t="s">
        <v>162</v>
      </c>
      <c r="B33" s="11" t="s">
        <v>163</v>
      </c>
      <c r="C33" s="11" t="s">
        <v>165</v>
      </c>
      <c r="D33" s="51" t="n">
        <v>708</v>
      </c>
      <c r="E33" s="52" t="n">
        <v>0.43</v>
      </c>
    </row>
    <row r="34" customFormat="false" ht="15" hidden="false" customHeight="false" outlineLevel="0" collapsed="false">
      <c r="A34" s="7" t="s">
        <v>162</v>
      </c>
      <c r="B34" s="7" t="s">
        <v>163</v>
      </c>
      <c r="C34" s="7" t="s">
        <v>166</v>
      </c>
      <c r="D34" s="49" t="n">
        <v>20</v>
      </c>
      <c r="E34" s="50" t="n">
        <v>0.01</v>
      </c>
    </row>
    <row r="37" customFormat="false" ht="19.4" hidden="false" customHeight="false" outlineLevel="0" collapsed="false">
      <c r="A37" s="46" t="s">
        <v>167</v>
      </c>
      <c r="B37" s="46"/>
      <c r="C37" s="46"/>
      <c r="D37" s="46"/>
      <c r="E37" s="46"/>
      <c r="F37" s="46"/>
    </row>
    <row r="38" customFormat="false" ht="17.15" hidden="false" customHeight="false" outlineLevel="0" collapsed="false">
      <c r="A38" s="5" t="s">
        <v>168</v>
      </c>
      <c r="B38" s="5" t="s">
        <v>169</v>
      </c>
      <c r="C38" s="5" t="s">
        <v>170</v>
      </c>
      <c r="D38" s="5" t="s">
        <v>171</v>
      </c>
      <c r="E38" s="5" t="s">
        <v>172</v>
      </c>
    </row>
    <row r="39" customFormat="false" ht="15" hidden="false" customHeight="false" outlineLevel="0" collapsed="false">
      <c r="A39" s="55" t="s">
        <v>46</v>
      </c>
      <c r="B39" s="58" t="s">
        <v>174</v>
      </c>
      <c r="C39" s="51" t="n">
        <v>745</v>
      </c>
      <c r="D39" s="57" t="n">
        <v>98.6</v>
      </c>
      <c r="E39" s="57" t="n">
        <v>73.3</v>
      </c>
    </row>
    <row r="40" customFormat="false" ht="15" hidden="false" customHeight="false" outlineLevel="0" collapsed="false">
      <c r="A40" s="55" t="s">
        <v>49</v>
      </c>
      <c r="B40" s="58" t="s">
        <v>174</v>
      </c>
      <c r="C40" s="51" t="n">
        <v>238</v>
      </c>
      <c r="D40" s="57" t="n">
        <v>31.5</v>
      </c>
      <c r="E40" s="57" t="n">
        <v>20.9</v>
      </c>
    </row>
    <row r="41" customFormat="false" ht="15" hidden="false" customHeight="false" outlineLevel="0" collapsed="false">
      <c r="A41" s="55" t="s">
        <v>90</v>
      </c>
      <c r="B41" s="11" t="s">
        <v>173</v>
      </c>
      <c r="C41" s="51" t="n">
        <v>233</v>
      </c>
      <c r="D41" s="57" t="n">
        <v>30.8</v>
      </c>
      <c r="E41" s="57" t="n">
        <v>23.6</v>
      </c>
    </row>
    <row r="42" customFormat="false" ht="15" hidden="false" customHeight="false" outlineLevel="0" collapsed="false">
      <c r="A42" s="55" t="s">
        <v>196</v>
      </c>
      <c r="B42" s="15" t="s">
        <v>176</v>
      </c>
      <c r="C42" s="51" t="n">
        <v>199</v>
      </c>
      <c r="D42" s="57" t="n">
        <v>26.3</v>
      </c>
      <c r="E42" s="57" t="n">
        <v>15.7</v>
      </c>
    </row>
    <row r="43" customFormat="false" ht="15" hidden="false" customHeight="false" outlineLevel="0" collapsed="false">
      <c r="A43" s="55" t="s">
        <v>52</v>
      </c>
      <c r="B43" s="58" t="s">
        <v>174</v>
      </c>
      <c r="C43" s="51" t="n">
        <v>158</v>
      </c>
      <c r="D43" s="57" t="n">
        <v>20.9</v>
      </c>
      <c r="E43" s="57" t="n">
        <v>13.1</v>
      </c>
    </row>
    <row r="44" customFormat="false" ht="15" hidden="false" customHeight="false" outlineLevel="0" collapsed="false">
      <c r="A44" s="55" t="s">
        <v>51</v>
      </c>
      <c r="B44" s="58" t="s">
        <v>174</v>
      </c>
      <c r="C44" s="51" t="n">
        <v>153</v>
      </c>
      <c r="D44" s="57" t="n">
        <v>20.2</v>
      </c>
      <c r="E44" s="57" t="n">
        <v>7.9</v>
      </c>
    </row>
    <row r="45" customFormat="false" ht="15" hidden="false" customHeight="false" outlineLevel="0" collapsed="false">
      <c r="A45" s="55" t="s">
        <v>75</v>
      </c>
      <c r="B45" s="11" t="s">
        <v>173</v>
      </c>
      <c r="C45" s="51" t="n">
        <v>146</v>
      </c>
      <c r="D45" s="57" t="n">
        <v>19.3</v>
      </c>
      <c r="E45" s="57" t="n">
        <v>7.9</v>
      </c>
    </row>
    <row r="46" customFormat="false" ht="15" hidden="false" customHeight="false" outlineLevel="0" collapsed="false">
      <c r="A46" s="55" t="s">
        <v>91</v>
      </c>
      <c r="B46" s="11" t="s">
        <v>173</v>
      </c>
      <c r="C46" s="51" t="n">
        <v>138</v>
      </c>
      <c r="D46" s="57" t="n">
        <v>18.3</v>
      </c>
      <c r="E46" s="57" t="n">
        <v>0</v>
      </c>
    </row>
    <row r="47" customFormat="false" ht="15" hidden="false" customHeight="false" outlineLevel="0" collapsed="false">
      <c r="A47" s="55" t="s">
        <v>57</v>
      </c>
      <c r="B47" s="58" t="s">
        <v>174</v>
      </c>
      <c r="C47" s="51" t="n">
        <v>100</v>
      </c>
      <c r="D47" s="57" t="n">
        <v>13.2</v>
      </c>
      <c r="E47" s="57" t="n">
        <v>5.2</v>
      </c>
    </row>
    <row r="48" customFormat="false" ht="15" hidden="false" customHeight="false" outlineLevel="0" collapsed="false">
      <c r="A48" s="55" t="s">
        <v>58</v>
      </c>
      <c r="B48" s="58" t="s">
        <v>174</v>
      </c>
      <c r="C48" s="51" t="n">
        <v>89</v>
      </c>
      <c r="D48" s="57" t="n">
        <v>11.8</v>
      </c>
      <c r="E48" s="57" t="n">
        <v>5.2</v>
      </c>
    </row>
    <row r="49" customFormat="false" ht="15" hidden="false" customHeight="false" outlineLevel="0" collapsed="false">
      <c r="A49" s="55" t="s">
        <v>92</v>
      </c>
      <c r="B49" s="11" t="s">
        <v>173</v>
      </c>
      <c r="C49" s="51" t="n">
        <v>84</v>
      </c>
      <c r="D49" s="57" t="n">
        <v>11.1</v>
      </c>
      <c r="E49" s="57" t="n">
        <v>0</v>
      </c>
    </row>
    <row r="50" customFormat="false" ht="15" hidden="false" customHeight="false" outlineLevel="0" collapsed="false">
      <c r="A50" s="55" t="s">
        <v>65</v>
      </c>
      <c r="B50" s="15" t="s">
        <v>176</v>
      </c>
      <c r="C50" s="51" t="n">
        <v>70</v>
      </c>
      <c r="D50" s="57" t="n">
        <v>9.3</v>
      </c>
      <c r="E50" s="57" t="n">
        <v>5.2</v>
      </c>
    </row>
    <row r="51" customFormat="false" ht="15" hidden="false" customHeight="false" outlineLevel="0" collapsed="false">
      <c r="A51" s="55" t="s">
        <v>177</v>
      </c>
      <c r="B51" s="11" t="s">
        <v>173</v>
      </c>
      <c r="C51" s="51" t="n">
        <v>66</v>
      </c>
      <c r="D51" s="57" t="n">
        <v>8.7</v>
      </c>
      <c r="E51" s="57" t="n">
        <v>2.6</v>
      </c>
    </row>
    <row r="52" customFormat="false" ht="15" hidden="false" customHeight="false" outlineLevel="0" collapsed="false">
      <c r="A52" s="55" t="s">
        <v>93</v>
      </c>
      <c r="B52" s="11" t="s">
        <v>173</v>
      </c>
      <c r="C52" s="51" t="n">
        <v>60</v>
      </c>
      <c r="D52" s="57" t="n">
        <v>7.9</v>
      </c>
      <c r="E52" s="57" t="n">
        <v>2.6</v>
      </c>
    </row>
    <row r="53" customFormat="false" ht="15" hidden="false" customHeight="false" outlineLevel="0" collapsed="false">
      <c r="A53" s="55" t="s">
        <v>180</v>
      </c>
      <c r="B53" s="11" t="s">
        <v>173</v>
      </c>
      <c r="C53" s="51" t="n">
        <v>51</v>
      </c>
      <c r="D53" s="57" t="n">
        <v>6.7</v>
      </c>
      <c r="E53" s="57" t="n">
        <v>2.6</v>
      </c>
    </row>
    <row r="56" customFormat="false" ht="15" hidden="false" customHeight="false" outlineLevel="0" collapsed="false">
      <c r="A56" s="46" t="s">
        <v>182</v>
      </c>
      <c r="B56" s="46"/>
      <c r="C56" s="46"/>
      <c r="D56" s="46"/>
      <c r="E56" s="46"/>
      <c r="F56" s="46"/>
    </row>
    <row r="57" customFormat="false" ht="17.15" hidden="false" customHeight="false" outlineLevel="0" collapsed="false">
      <c r="A57" s="5" t="s">
        <v>183</v>
      </c>
      <c r="B57" s="5" t="s">
        <v>184</v>
      </c>
      <c r="C57" s="5" t="s">
        <v>185</v>
      </c>
    </row>
    <row r="58" customFormat="false" ht="15" hidden="false" customHeight="false" outlineLevel="0" collapsed="false">
      <c r="A58" s="11" t="s">
        <v>52</v>
      </c>
      <c r="B58" s="51" t="n">
        <v>91</v>
      </c>
      <c r="C58" s="59" t="n">
        <f aca="false">B58/2654</f>
        <v>0.0342878673700075</v>
      </c>
    </row>
    <row r="59" customFormat="false" ht="15" hidden="false" customHeight="false" outlineLevel="0" collapsed="false">
      <c r="A59" s="11" t="s">
        <v>96</v>
      </c>
      <c r="B59" s="51" t="n">
        <v>29</v>
      </c>
      <c r="C59" s="59" t="n">
        <f aca="false">B59/2654</f>
        <v>0.0109269027882442</v>
      </c>
    </row>
    <row r="60" customFormat="false" ht="15" hidden="false" customHeight="false" outlineLevel="0" collapsed="false">
      <c r="A60" s="11" t="s">
        <v>97</v>
      </c>
      <c r="B60" s="51" t="n">
        <v>17</v>
      </c>
      <c r="C60" s="59" t="n">
        <f aca="false">B60/2654</f>
        <v>0.00640542577241899</v>
      </c>
    </row>
    <row r="61" customFormat="false" ht="15" hidden="false" customHeight="false" outlineLevel="0" collapsed="false">
      <c r="A61" s="11" t="s">
        <v>73</v>
      </c>
      <c r="B61" s="51" t="n">
        <v>15</v>
      </c>
      <c r="C61" s="59" t="n">
        <f aca="false">B61/2654</f>
        <v>0.00565184626978146</v>
      </c>
    </row>
    <row r="62" customFormat="false" ht="15" hidden="false" customHeight="false" outlineLevel="0" collapsed="false">
      <c r="A62" s="11" t="s">
        <v>100</v>
      </c>
      <c r="B62" s="51" t="n">
        <v>6</v>
      </c>
      <c r="C62" s="59" t="n">
        <f aca="false">B62/2654</f>
        <v>0.00226073850791259</v>
      </c>
    </row>
    <row r="63" customFormat="false" ht="15" hidden="false" customHeight="false" outlineLevel="0" collapsed="false">
      <c r="A63" s="11" t="s">
        <v>99</v>
      </c>
      <c r="B63" s="51" t="n">
        <v>6</v>
      </c>
      <c r="C63" s="59" t="n">
        <f aca="false">B63/2654</f>
        <v>0.00226073850791259</v>
      </c>
    </row>
    <row r="64" customFormat="false" ht="15" hidden="false" customHeight="false" outlineLevel="0" collapsed="false">
      <c r="A64" s="11" t="s">
        <v>102</v>
      </c>
      <c r="B64" s="51" t="n">
        <v>2</v>
      </c>
      <c r="C64" s="59" t="n">
        <f aca="false">B64/2654</f>
        <v>0.000753579502637528</v>
      </c>
    </row>
    <row r="67" customFormat="false" ht="19.4" hidden="false" customHeight="false" outlineLevel="0" collapsed="false">
      <c r="A67" s="46" t="s">
        <v>186</v>
      </c>
      <c r="B67" s="46"/>
      <c r="C67" s="46"/>
      <c r="D67" s="46"/>
      <c r="E67" s="46"/>
      <c r="F67" s="46"/>
    </row>
    <row r="68" customFormat="false" ht="17.15" hidden="false" customHeight="false" outlineLevel="0" collapsed="false">
      <c r="A68" s="5" t="s">
        <v>187</v>
      </c>
      <c r="B68" s="5" t="s">
        <v>184</v>
      </c>
      <c r="C68" s="5" t="s">
        <v>185</v>
      </c>
    </row>
    <row r="69" customFormat="false" ht="15" hidden="false" customHeight="false" outlineLevel="0" collapsed="false">
      <c r="A69" s="11" t="s">
        <v>75</v>
      </c>
      <c r="B69" s="51" t="n">
        <v>182</v>
      </c>
      <c r="C69" s="59" t="n">
        <f aca="false">B69/2654</f>
        <v>0.0685757347400151</v>
      </c>
    </row>
    <row r="70" customFormat="false" ht="15" hidden="false" customHeight="false" outlineLevel="0" collapsed="false">
      <c r="A70" s="11" t="s">
        <v>76</v>
      </c>
      <c r="B70" s="51" t="n">
        <v>81</v>
      </c>
      <c r="C70" s="59" t="n">
        <f aca="false">B70/2654</f>
        <v>0.0305199698568199</v>
      </c>
    </row>
    <row r="71" customFormat="false" ht="15" hidden="false" customHeight="false" outlineLevel="0" collapsed="false">
      <c r="A71" s="11" t="s">
        <v>77</v>
      </c>
      <c r="B71" s="51" t="n">
        <v>67</v>
      </c>
      <c r="C71" s="59" t="n">
        <f aca="false">B71/2654</f>
        <v>0.0252449133383572</v>
      </c>
    </row>
    <row r="72" customFormat="false" ht="15" hidden="false" customHeight="false" outlineLevel="0" collapsed="false">
      <c r="A72" s="11" t="s">
        <v>80</v>
      </c>
      <c r="B72" s="51" t="n">
        <v>15</v>
      </c>
      <c r="C72" s="59" t="n">
        <f aca="false">B72/2654</f>
        <v>0.00565184626978146</v>
      </c>
    </row>
    <row r="73" customFormat="false" ht="15" hidden="false" customHeight="false" outlineLevel="0" collapsed="false">
      <c r="A73" s="11" t="s">
        <v>78</v>
      </c>
      <c r="B73" s="51" t="n">
        <v>14</v>
      </c>
      <c r="C73" s="59" t="n">
        <f aca="false">B73/2654</f>
        <v>0.0052750565184627</v>
      </c>
    </row>
    <row r="74" customFormat="false" ht="15" hidden="false" customHeight="false" outlineLevel="0" collapsed="false">
      <c r="A74" s="11" t="s">
        <v>79</v>
      </c>
      <c r="B74" s="51" t="n">
        <v>9</v>
      </c>
      <c r="C74" s="59" t="n">
        <f aca="false">B74/2654</f>
        <v>0.00339110776186888</v>
      </c>
    </row>
    <row r="75" customFormat="false" ht="15" hidden="false" customHeight="false" outlineLevel="0" collapsed="false">
      <c r="A75" s="11" t="s">
        <v>81</v>
      </c>
      <c r="B75" s="51" t="n">
        <v>8</v>
      </c>
      <c r="C75" s="59" t="n">
        <f aca="false">B75/2654</f>
        <v>0.00301431801055011</v>
      </c>
    </row>
    <row r="76" customFormat="false" ht="15" hidden="false" customHeight="false" outlineLevel="0" collapsed="false">
      <c r="A76" s="11" t="s">
        <v>83</v>
      </c>
      <c r="B76" s="51" t="n">
        <v>6</v>
      </c>
      <c r="C76" s="59" t="n">
        <f aca="false">B76/2654</f>
        <v>0.00226073850791259</v>
      </c>
    </row>
    <row r="77" customFormat="false" ht="15" hidden="false" customHeight="false" outlineLevel="0" collapsed="false">
      <c r="A77" s="11" t="s">
        <v>86</v>
      </c>
      <c r="B77" s="51" t="n">
        <v>5</v>
      </c>
      <c r="C77" s="59" t="n">
        <f aca="false">B77/2654</f>
        <v>0.00188394875659382</v>
      </c>
    </row>
    <row r="78" customFormat="false" ht="15" hidden="false" customHeight="false" outlineLevel="0" collapsed="false">
      <c r="A78" s="11" t="s">
        <v>85</v>
      </c>
      <c r="B78" s="51" t="n">
        <v>4</v>
      </c>
      <c r="C78" s="59" t="n">
        <f aca="false">B78/2654</f>
        <v>0.00150715900527506</v>
      </c>
    </row>
    <row r="79" customFormat="false" ht="15" hidden="false" customHeight="false" outlineLevel="0" collapsed="false">
      <c r="A79" s="11" t="s">
        <v>84</v>
      </c>
      <c r="B79" s="51" t="n">
        <v>4</v>
      </c>
      <c r="C79" s="59" t="n">
        <f aca="false">B79/2654</f>
        <v>0.00150715900527506</v>
      </c>
    </row>
    <row r="80" customFormat="false" ht="15" hidden="false" customHeight="false" outlineLevel="0" collapsed="false">
      <c r="A80" s="11" t="s">
        <v>82</v>
      </c>
      <c r="B80" s="51" t="n">
        <v>3</v>
      </c>
      <c r="C80" s="59" t="n">
        <f aca="false">B80/2654</f>
        <v>0.00113036925395629</v>
      </c>
    </row>
    <row r="83" customFormat="false" ht="19.4" hidden="false" customHeight="false" outlineLevel="0" collapsed="false">
      <c r="A83" s="46" t="s">
        <v>188</v>
      </c>
      <c r="B83" s="46"/>
      <c r="C83" s="46"/>
      <c r="D83" s="46"/>
      <c r="E83" s="46"/>
      <c r="F83" s="46"/>
    </row>
    <row r="84" customFormat="false" ht="42" hidden="false" customHeight="true" outlineLevel="0" collapsed="false">
      <c r="A84" s="60" t="s">
        <v>189</v>
      </c>
      <c r="B84" s="61" t="s">
        <v>197</v>
      </c>
      <c r="C84" s="61"/>
      <c r="D84" s="61"/>
      <c r="E84" s="61"/>
      <c r="F84" s="61"/>
    </row>
    <row r="85" customFormat="false" ht="42" hidden="false" customHeight="true" outlineLevel="0" collapsed="false">
      <c r="A85" s="60" t="s">
        <v>189</v>
      </c>
      <c r="B85" s="61" t="s">
        <v>198</v>
      </c>
      <c r="C85" s="61"/>
      <c r="D85" s="61"/>
      <c r="E85" s="61"/>
      <c r="F85" s="61"/>
    </row>
    <row r="86" customFormat="false" ht="42" hidden="false" customHeight="true" outlineLevel="0" collapsed="false">
      <c r="A86" s="60" t="s">
        <v>199</v>
      </c>
      <c r="B86" s="61"/>
      <c r="C86" s="61"/>
      <c r="D86" s="61"/>
      <c r="E86" s="61"/>
      <c r="F86" s="61"/>
    </row>
    <row r="87" customFormat="false" ht="42" hidden="false" customHeight="true" outlineLevel="0" collapsed="false">
      <c r="A87" s="60" t="s">
        <v>189</v>
      </c>
      <c r="B87" s="61"/>
      <c r="C87" s="61"/>
      <c r="D87" s="61"/>
      <c r="E87" s="61"/>
      <c r="F87" s="61"/>
    </row>
    <row r="88" customFormat="false" ht="42" hidden="false" customHeight="true" outlineLevel="0" collapsed="false">
      <c r="A88" s="60" t="s">
        <v>200</v>
      </c>
      <c r="B88" s="61"/>
      <c r="C88" s="61"/>
      <c r="D88" s="61"/>
      <c r="E88" s="61"/>
      <c r="F88" s="61"/>
    </row>
  </sheetData>
  <mergeCells count="13">
    <mergeCell ref="A1:F1"/>
    <mergeCell ref="A2:F2"/>
    <mergeCell ref="A4:F4"/>
    <mergeCell ref="A20:F20"/>
    <mergeCell ref="A37:F37"/>
    <mergeCell ref="A56:F56"/>
    <mergeCell ref="A67:F67"/>
    <mergeCell ref="A83:F83"/>
    <mergeCell ref="B84:F84"/>
    <mergeCell ref="B85:F85"/>
    <mergeCell ref="B86:F86"/>
    <mergeCell ref="B87:F87"/>
    <mergeCell ref="B88:F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35" t="s">
        <v>201</v>
      </c>
      <c r="B1" s="35"/>
      <c r="C1" s="35"/>
      <c r="D1" s="35"/>
      <c r="E1" s="35"/>
      <c r="F1" s="35"/>
    </row>
    <row r="2" customFormat="false" ht="15" hidden="false" customHeight="false" outlineLevel="0" collapsed="false">
      <c r="A2" s="2" t="s">
        <v>202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46" t="s">
        <v>137</v>
      </c>
      <c r="B4" s="46"/>
      <c r="C4" s="46"/>
      <c r="D4" s="46"/>
      <c r="E4" s="46"/>
      <c r="F4" s="46"/>
    </row>
    <row r="5" customFormat="false" ht="30.55" hidden="false" customHeight="false" outlineLevel="0" collapsed="false">
      <c r="A5" s="4" t="s">
        <v>138</v>
      </c>
      <c r="B5" s="5" t="s">
        <v>139</v>
      </c>
      <c r="D5" s="4" t="s">
        <v>140</v>
      </c>
      <c r="E5" s="5" t="s">
        <v>139</v>
      </c>
    </row>
    <row r="6" customFormat="false" ht="15" hidden="false" customHeight="false" outlineLevel="0" collapsed="false">
      <c r="A6" s="39" t="s">
        <v>46</v>
      </c>
      <c r="B6" s="47" t="n">
        <v>221</v>
      </c>
      <c r="D6" s="41" t="s">
        <v>62</v>
      </c>
      <c r="E6" s="48" t="n">
        <v>165</v>
      </c>
    </row>
    <row r="7" customFormat="false" ht="15" hidden="false" customHeight="false" outlineLevel="0" collapsed="false">
      <c r="A7" s="39" t="s">
        <v>47</v>
      </c>
      <c r="B7" s="47" t="n">
        <v>102</v>
      </c>
      <c r="D7" s="41" t="s">
        <v>63</v>
      </c>
      <c r="E7" s="48" t="n">
        <v>75</v>
      </c>
    </row>
    <row r="8" customFormat="false" ht="15" hidden="false" customHeight="false" outlineLevel="0" collapsed="false">
      <c r="A8" s="39" t="s">
        <v>48</v>
      </c>
      <c r="B8" s="47" t="n">
        <v>72</v>
      </c>
      <c r="D8" s="41" t="s">
        <v>65</v>
      </c>
      <c r="E8" s="48" t="n">
        <v>47</v>
      </c>
    </row>
    <row r="9" customFormat="false" ht="15" hidden="false" customHeight="false" outlineLevel="0" collapsed="false">
      <c r="A9" s="39" t="s">
        <v>57</v>
      </c>
      <c r="B9" s="47" t="n">
        <v>60</v>
      </c>
      <c r="D9" s="41" t="s">
        <v>69</v>
      </c>
      <c r="E9" s="48" t="n">
        <v>34</v>
      </c>
    </row>
    <row r="10" customFormat="false" ht="15" hidden="false" customHeight="false" outlineLevel="0" collapsed="false">
      <c r="A10" s="39" t="s">
        <v>52</v>
      </c>
      <c r="B10" s="47" t="n">
        <v>48</v>
      </c>
      <c r="D10" s="41" t="s">
        <v>64</v>
      </c>
      <c r="E10" s="48" t="n">
        <v>17</v>
      </c>
    </row>
    <row r="11" customFormat="false" ht="15" hidden="false" customHeight="false" outlineLevel="0" collapsed="false">
      <c r="A11" s="39" t="s">
        <v>49</v>
      </c>
      <c r="B11" s="47" t="n">
        <v>46</v>
      </c>
      <c r="D11" s="41" t="s">
        <v>67</v>
      </c>
      <c r="E11" s="48" t="n">
        <v>14</v>
      </c>
    </row>
    <row r="12" customFormat="false" ht="15" hidden="false" customHeight="false" outlineLevel="0" collapsed="false">
      <c r="A12" s="39" t="s">
        <v>50</v>
      </c>
      <c r="B12" s="47" t="n">
        <v>28</v>
      </c>
      <c r="D12" s="41" t="s">
        <v>115</v>
      </c>
      <c r="E12" s="48" t="n">
        <v>10</v>
      </c>
    </row>
    <row r="13" customFormat="false" ht="15" hidden="false" customHeight="false" outlineLevel="0" collapsed="false">
      <c r="A13" s="39" t="s">
        <v>112</v>
      </c>
      <c r="B13" s="47" t="n">
        <v>22</v>
      </c>
      <c r="D13" s="41" t="s">
        <v>203</v>
      </c>
      <c r="E13" s="48" t="n">
        <v>7</v>
      </c>
    </row>
    <row r="14" customFormat="false" ht="15" hidden="false" customHeight="false" outlineLevel="0" collapsed="false">
      <c r="A14" s="39" t="s">
        <v>53</v>
      </c>
      <c r="B14" s="47" t="n">
        <v>16</v>
      </c>
      <c r="D14" s="41" t="s">
        <v>73</v>
      </c>
      <c r="E14" s="48" t="n">
        <v>6</v>
      </c>
    </row>
    <row r="15" customFormat="false" ht="15" hidden="false" customHeight="false" outlineLevel="0" collapsed="false">
      <c r="A15" s="39" t="s">
        <v>51</v>
      </c>
      <c r="B15" s="47" t="n">
        <v>16</v>
      </c>
      <c r="D15" s="41" t="s">
        <v>117</v>
      </c>
      <c r="E15" s="48" t="n">
        <v>4</v>
      </c>
    </row>
    <row r="16" customFormat="false" ht="15" hidden="false" customHeight="false" outlineLevel="0" collapsed="false">
      <c r="A16" s="39" t="s">
        <v>59</v>
      </c>
      <c r="B16" s="47" t="n">
        <v>10</v>
      </c>
      <c r="D16" s="41" t="s">
        <v>119</v>
      </c>
      <c r="E16" s="48" t="n">
        <v>3</v>
      </c>
    </row>
    <row r="17" customFormat="false" ht="15" hidden="false" customHeight="false" outlineLevel="0" collapsed="false">
      <c r="A17" s="39" t="s">
        <v>58</v>
      </c>
      <c r="B17" s="47" t="n">
        <v>10</v>
      </c>
      <c r="D17" s="41" t="s">
        <v>204</v>
      </c>
      <c r="E17" s="48" t="n">
        <v>3</v>
      </c>
    </row>
    <row r="20" customFormat="false" ht="15" hidden="false" customHeight="false" outlineLevel="0" collapsed="false">
      <c r="A20" s="46" t="s">
        <v>141</v>
      </c>
      <c r="B20" s="46"/>
      <c r="C20" s="46"/>
      <c r="D20" s="46"/>
      <c r="E20" s="46"/>
      <c r="F20" s="46"/>
    </row>
    <row r="21" customFormat="false" ht="17.15" hidden="false" customHeight="false" outlineLevel="0" collapsed="false">
      <c r="A21" s="5" t="s">
        <v>142</v>
      </c>
      <c r="B21" s="5" t="s">
        <v>143</v>
      </c>
      <c r="C21" s="5" t="s">
        <v>144</v>
      </c>
      <c r="D21" s="5" t="s">
        <v>145</v>
      </c>
      <c r="E21" s="5" t="s">
        <v>146</v>
      </c>
    </row>
    <row r="22" customFormat="false" ht="26.85" hidden="false" customHeight="false" outlineLevel="0" collapsed="false">
      <c r="A22" s="7" t="s">
        <v>147</v>
      </c>
      <c r="B22" s="7" t="s">
        <v>148</v>
      </c>
      <c r="C22" s="7" t="s">
        <v>149</v>
      </c>
      <c r="D22" s="49" t="n">
        <v>267</v>
      </c>
      <c r="E22" s="50" t="n">
        <v>0.41</v>
      </c>
    </row>
    <row r="23" customFormat="false" ht="26.85" hidden="false" customHeight="false" outlineLevel="0" collapsed="false">
      <c r="A23" s="11" t="s">
        <v>147</v>
      </c>
      <c r="B23" s="11" t="s">
        <v>148</v>
      </c>
      <c r="C23" s="11" t="s">
        <v>150</v>
      </c>
      <c r="D23" s="51" t="n">
        <v>192</v>
      </c>
      <c r="E23" s="52" t="n">
        <v>0.29</v>
      </c>
    </row>
    <row r="24" customFormat="false" ht="26.85" hidden="false" customHeight="false" outlineLevel="0" collapsed="false">
      <c r="A24" s="7" t="s">
        <v>147</v>
      </c>
      <c r="B24" s="7" t="s">
        <v>148</v>
      </c>
      <c r="C24" s="7" t="s">
        <v>151</v>
      </c>
      <c r="D24" s="49" t="n">
        <v>138</v>
      </c>
      <c r="E24" s="50" t="n">
        <v>0.21</v>
      </c>
    </row>
    <row r="25" customFormat="false" ht="26.85" hidden="false" customHeight="false" outlineLevel="0" collapsed="false">
      <c r="A25" s="11" t="s">
        <v>147</v>
      </c>
      <c r="B25" s="11" t="s">
        <v>148</v>
      </c>
      <c r="C25" s="11" t="s">
        <v>152</v>
      </c>
      <c r="D25" s="51" t="n">
        <v>54</v>
      </c>
      <c r="E25" s="52" t="n">
        <v>0.08</v>
      </c>
    </row>
    <row r="26" customFormat="false" ht="15" hidden="false" customHeight="false" outlineLevel="0" collapsed="false">
      <c r="A26" s="7" t="s">
        <v>158</v>
      </c>
      <c r="B26" s="7" t="s">
        <v>159</v>
      </c>
      <c r="C26" s="53" t="s">
        <v>160</v>
      </c>
      <c r="D26" s="49" t="n">
        <v>1434</v>
      </c>
      <c r="E26" s="54" t="n">
        <v>0.68</v>
      </c>
    </row>
    <row r="27" customFormat="false" ht="15" hidden="false" customHeight="false" outlineLevel="0" collapsed="false">
      <c r="A27" s="11" t="s">
        <v>158</v>
      </c>
      <c r="B27" s="11" t="s">
        <v>159</v>
      </c>
      <c r="C27" s="11" t="s">
        <v>156</v>
      </c>
      <c r="D27" s="51" t="n">
        <v>636</v>
      </c>
      <c r="E27" s="52" t="n">
        <v>0.3</v>
      </c>
    </row>
    <row r="28" customFormat="false" ht="15" hidden="false" customHeight="false" outlineLevel="0" collapsed="false">
      <c r="A28" s="7" t="s">
        <v>158</v>
      </c>
      <c r="B28" s="7" t="s">
        <v>159</v>
      </c>
      <c r="C28" s="7" t="s">
        <v>161</v>
      </c>
      <c r="D28" s="49" t="n">
        <v>12</v>
      </c>
      <c r="E28" s="50" t="n">
        <v>0</v>
      </c>
    </row>
    <row r="29" customFormat="false" ht="15" hidden="false" customHeight="false" outlineLevel="0" collapsed="false">
      <c r="A29" s="11" t="s">
        <v>205</v>
      </c>
      <c r="B29" s="11" t="s">
        <v>206</v>
      </c>
      <c r="C29" s="55" t="s">
        <v>155</v>
      </c>
      <c r="D29" s="51" t="n">
        <v>396</v>
      </c>
      <c r="E29" s="56" t="n">
        <v>0.6</v>
      </c>
    </row>
    <row r="30" customFormat="false" ht="15" hidden="false" customHeight="false" outlineLevel="0" collapsed="false">
      <c r="A30" s="7" t="s">
        <v>205</v>
      </c>
      <c r="B30" s="7" t="s">
        <v>206</v>
      </c>
      <c r="C30" s="7" t="s">
        <v>156</v>
      </c>
      <c r="D30" s="49" t="n">
        <v>231</v>
      </c>
      <c r="E30" s="50" t="n">
        <v>0.35</v>
      </c>
    </row>
    <row r="31" customFormat="false" ht="15" hidden="false" customHeight="false" outlineLevel="0" collapsed="false">
      <c r="A31" s="11" t="s">
        <v>205</v>
      </c>
      <c r="B31" s="11" t="s">
        <v>206</v>
      </c>
      <c r="C31" s="11" t="s">
        <v>157</v>
      </c>
      <c r="D31" s="51" t="n">
        <v>24</v>
      </c>
      <c r="E31" s="52" t="n">
        <v>0.03</v>
      </c>
    </row>
    <row r="34" customFormat="false" ht="19.4" hidden="false" customHeight="false" outlineLevel="0" collapsed="false">
      <c r="A34" s="46" t="s">
        <v>167</v>
      </c>
      <c r="B34" s="46"/>
      <c r="C34" s="46"/>
      <c r="D34" s="46"/>
      <c r="E34" s="46"/>
      <c r="F34" s="46"/>
    </row>
    <row r="35" customFormat="false" ht="17.15" hidden="false" customHeight="false" outlineLevel="0" collapsed="false">
      <c r="A35" s="5" t="s">
        <v>168</v>
      </c>
      <c r="B35" s="5" t="s">
        <v>169</v>
      </c>
      <c r="C35" s="5" t="s">
        <v>170</v>
      </c>
      <c r="D35" s="5" t="s">
        <v>171</v>
      </c>
      <c r="E35" s="5" t="s">
        <v>172</v>
      </c>
    </row>
    <row r="36" customFormat="false" ht="15" hidden="false" customHeight="false" outlineLevel="0" collapsed="false">
      <c r="A36" s="55" t="s">
        <v>196</v>
      </c>
      <c r="B36" s="15" t="s">
        <v>176</v>
      </c>
      <c r="C36" s="51" t="n">
        <v>149</v>
      </c>
      <c r="D36" s="57" t="n">
        <v>64.4</v>
      </c>
      <c r="E36" s="57" t="n">
        <v>20.4</v>
      </c>
    </row>
    <row r="37" customFormat="false" ht="15" hidden="false" customHeight="false" outlineLevel="0" collapsed="false">
      <c r="A37" s="55" t="s">
        <v>90</v>
      </c>
      <c r="B37" s="11" t="s">
        <v>173</v>
      </c>
      <c r="C37" s="51" t="n">
        <v>76</v>
      </c>
      <c r="D37" s="57" t="n">
        <v>32.8</v>
      </c>
      <c r="E37" s="57" t="n">
        <v>6.8</v>
      </c>
    </row>
    <row r="38" customFormat="false" ht="15" hidden="false" customHeight="false" outlineLevel="0" collapsed="false">
      <c r="A38" s="55" t="s">
        <v>175</v>
      </c>
      <c r="B38" s="15" t="s">
        <v>176</v>
      </c>
      <c r="C38" s="51" t="n">
        <v>74</v>
      </c>
      <c r="D38" s="57" t="n">
        <v>32</v>
      </c>
      <c r="E38" s="57" t="n">
        <v>0</v>
      </c>
    </row>
    <row r="39" customFormat="false" ht="15" hidden="false" customHeight="false" outlineLevel="0" collapsed="false">
      <c r="A39" s="55" t="s">
        <v>48</v>
      </c>
      <c r="B39" s="58" t="s">
        <v>174</v>
      </c>
      <c r="C39" s="51" t="n">
        <v>61</v>
      </c>
      <c r="D39" s="57" t="n">
        <v>26.3</v>
      </c>
      <c r="E39" s="57" t="n">
        <v>0</v>
      </c>
    </row>
    <row r="40" customFormat="false" ht="15" hidden="false" customHeight="false" outlineLevel="0" collapsed="false">
      <c r="A40" s="55" t="s">
        <v>65</v>
      </c>
      <c r="B40" s="15" t="s">
        <v>176</v>
      </c>
      <c r="C40" s="51" t="n">
        <v>41</v>
      </c>
      <c r="D40" s="57" t="n">
        <v>17.7</v>
      </c>
      <c r="E40" s="57" t="n">
        <v>13.6</v>
      </c>
    </row>
    <row r="41" customFormat="false" ht="15" hidden="false" customHeight="false" outlineLevel="0" collapsed="false">
      <c r="A41" s="55" t="s">
        <v>49</v>
      </c>
      <c r="B41" s="58" t="s">
        <v>174</v>
      </c>
      <c r="C41" s="51" t="n">
        <v>40</v>
      </c>
      <c r="D41" s="57" t="n">
        <v>17.3</v>
      </c>
      <c r="E41" s="57" t="n">
        <v>0</v>
      </c>
    </row>
    <row r="42" customFormat="false" ht="15" hidden="false" customHeight="false" outlineLevel="0" collapsed="false">
      <c r="A42" s="55" t="s">
        <v>177</v>
      </c>
      <c r="B42" s="11" t="s">
        <v>173</v>
      </c>
      <c r="C42" s="51" t="n">
        <v>39</v>
      </c>
      <c r="D42" s="57" t="n">
        <v>16.8</v>
      </c>
      <c r="E42" s="57" t="n">
        <v>13.6</v>
      </c>
    </row>
    <row r="43" customFormat="false" ht="15" hidden="false" customHeight="false" outlineLevel="0" collapsed="false">
      <c r="A43" s="55" t="s">
        <v>91</v>
      </c>
      <c r="B43" s="11" t="s">
        <v>173</v>
      </c>
      <c r="C43" s="51" t="n">
        <v>36</v>
      </c>
      <c r="D43" s="57" t="n">
        <v>15.6</v>
      </c>
      <c r="E43" s="57" t="n">
        <v>0</v>
      </c>
    </row>
    <row r="44" customFormat="false" ht="15" hidden="false" customHeight="false" outlineLevel="0" collapsed="false">
      <c r="A44" s="55" t="s">
        <v>93</v>
      </c>
      <c r="B44" s="11" t="s">
        <v>173</v>
      </c>
      <c r="C44" s="51" t="n">
        <v>32</v>
      </c>
      <c r="D44" s="57" t="n">
        <v>13.8</v>
      </c>
      <c r="E44" s="57" t="n">
        <v>0</v>
      </c>
    </row>
    <row r="45" customFormat="false" ht="15" hidden="false" customHeight="false" outlineLevel="0" collapsed="false">
      <c r="A45" s="55" t="s">
        <v>75</v>
      </c>
      <c r="B45" s="11" t="s">
        <v>173</v>
      </c>
      <c r="C45" s="51" t="n">
        <v>29</v>
      </c>
      <c r="D45" s="57" t="n">
        <v>12.5</v>
      </c>
      <c r="E45" s="57" t="n">
        <v>6.8</v>
      </c>
    </row>
    <row r="46" customFormat="false" ht="15" hidden="false" customHeight="false" outlineLevel="0" collapsed="false">
      <c r="A46" s="55" t="s">
        <v>94</v>
      </c>
      <c r="B46" s="11" t="s">
        <v>173</v>
      </c>
      <c r="C46" s="51" t="n">
        <v>24</v>
      </c>
      <c r="D46" s="57" t="n">
        <v>10.4</v>
      </c>
      <c r="E46" s="57" t="n">
        <v>0</v>
      </c>
    </row>
    <row r="47" customFormat="false" ht="15" hidden="false" customHeight="false" outlineLevel="0" collapsed="false">
      <c r="A47" s="55" t="s">
        <v>207</v>
      </c>
      <c r="B47" s="11" t="s">
        <v>173</v>
      </c>
      <c r="C47" s="51" t="n">
        <v>23</v>
      </c>
      <c r="D47" s="57" t="n">
        <v>9.9</v>
      </c>
      <c r="E47" s="57" t="n">
        <v>0</v>
      </c>
    </row>
    <row r="48" customFormat="false" ht="15" hidden="false" customHeight="false" outlineLevel="0" collapsed="false">
      <c r="A48" s="55" t="s">
        <v>208</v>
      </c>
      <c r="B48" s="11" t="s">
        <v>173</v>
      </c>
      <c r="C48" s="51" t="n">
        <v>19</v>
      </c>
      <c r="D48" s="57" t="n">
        <v>8.2</v>
      </c>
      <c r="E48" s="57" t="n">
        <v>0</v>
      </c>
    </row>
    <row r="49" customFormat="false" ht="15" hidden="false" customHeight="false" outlineLevel="0" collapsed="false">
      <c r="A49" s="55" t="s">
        <v>51</v>
      </c>
      <c r="B49" s="58" t="s">
        <v>174</v>
      </c>
      <c r="C49" s="51" t="n">
        <v>15</v>
      </c>
      <c r="D49" s="57" t="n">
        <v>6.5</v>
      </c>
      <c r="E49" s="57" t="n">
        <v>0</v>
      </c>
    </row>
    <row r="50" customFormat="false" ht="15" hidden="false" customHeight="false" outlineLevel="0" collapsed="false">
      <c r="A50" s="55" t="s">
        <v>64</v>
      </c>
      <c r="B50" s="15" t="s">
        <v>176</v>
      </c>
      <c r="C50" s="51" t="n">
        <v>15</v>
      </c>
      <c r="D50" s="57" t="n">
        <v>6.5</v>
      </c>
      <c r="E50" s="57" t="n">
        <v>0</v>
      </c>
    </row>
    <row r="53" customFormat="false" ht="15" hidden="false" customHeight="false" outlineLevel="0" collapsed="false">
      <c r="A53" s="46" t="s">
        <v>182</v>
      </c>
      <c r="B53" s="46"/>
      <c r="C53" s="46"/>
      <c r="D53" s="46"/>
      <c r="E53" s="46"/>
      <c r="F53" s="46"/>
    </row>
    <row r="54" customFormat="false" ht="17.15" hidden="false" customHeight="false" outlineLevel="0" collapsed="false">
      <c r="A54" s="5" t="s">
        <v>183</v>
      </c>
      <c r="B54" s="5" t="s">
        <v>184</v>
      </c>
      <c r="C54" s="5" t="s">
        <v>185</v>
      </c>
    </row>
    <row r="55" customFormat="false" ht="15" hidden="false" customHeight="false" outlineLevel="0" collapsed="false">
      <c r="A55" s="11" t="s">
        <v>52</v>
      </c>
      <c r="B55" s="51" t="n">
        <v>33</v>
      </c>
      <c r="C55" s="59" t="n">
        <f aca="false">B55/904</f>
        <v>0.0365044247787611</v>
      </c>
    </row>
    <row r="56" customFormat="false" ht="15" hidden="false" customHeight="false" outlineLevel="0" collapsed="false">
      <c r="A56" s="11" t="s">
        <v>73</v>
      </c>
      <c r="B56" s="51" t="n">
        <v>18</v>
      </c>
      <c r="C56" s="59" t="n">
        <f aca="false">B56/904</f>
        <v>0.0199115044247788</v>
      </c>
    </row>
    <row r="57" customFormat="false" ht="15" hidden="false" customHeight="false" outlineLevel="0" collapsed="false">
      <c r="A57" s="11" t="s">
        <v>97</v>
      </c>
      <c r="B57" s="51" t="n">
        <v>7</v>
      </c>
      <c r="C57" s="59" t="n">
        <f aca="false">B57/904</f>
        <v>0.00774336283185841</v>
      </c>
    </row>
    <row r="58" customFormat="false" ht="15" hidden="false" customHeight="false" outlineLevel="0" collapsed="false">
      <c r="A58" s="11" t="s">
        <v>96</v>
      </c>
      <c r="B58" s="51" t="n">
        <v>5</v>
      </c>
      <c r="C58" s="59" t="n">
        <f aca="false">B58/904</f>
        <v>0.00553097345132743</v>
      </c>
    </row>
    <row r="59" customFormat="false" ht="15" hidden="false" customHeight="false" outlineLevel="0" collapsed="false">
      <c r="A59" s="11" t="s">
        <v>100</v>
      </c>
      <c r="B59" s="51" t="n">
        <v>3</v>
      </c>
      <c r="C59" s="59" t="n">
        <f aca="false">B59/904</f>
        <v>0.00331858407079646</v>
      </c>
    </row>
    <row r="60" customFormat="false" ht="15" hidden="false" customHeight="false" outlineLevel="0" collapsed="false">
      <c r="A60" s="11" t="s">
        <v>99</v>
      </c>
      <c r="B60" s="51" t="n">
        <v>2</v>
      </c>
      <c r="C60" s="59" t="n">
        <f aca="false">B60/904</f>
        <v>0.00221238938053097</v>
      </c>
    </row>
    <row r="61" customFormat="false" ht="15" hidden="false" customHeight="false" outlineLevel="0" collapsed="false">
      <c r="A61" s="11" t="s">
        <v>102</v>
      </c>
      <c r="B61" s="51" t="n">
        <v>1</v>
      </c>
      <c r="C61" s="59" t="n">
        <f aca="false">B61/904</f>
        <v>0.00110619469026549</v>
      </c>
    </row>
    <row r="64" customFormat="false" ht="19.4" hidden="false" customHeight="false" outlineLevel="0" collapsed="false">
      <c r="A64" s="46" t="s">
        <v>186</v>
      </c>
      <c r="B64" s="46"/>
      <c r="C64" s="46"/>
      <c r="D64" s="46"/>
      <c r="E64" s="46"/>
      <c r="F64" s="46"/>
    </row>
    <row r="65" customFormat="false" ht="17.15" hidden="false" customHeight="false" outlineLevel="0" collapsed="false">
      <c r="A65" s="5" t="s">
        <v>187</v>
      </c>
      <c r="B65" s="5" t="s">
        <v>184</v>
      </c>
      <c r="C65" s="5" t="s">
        <v>185</v>
      </c>
    </row>
    <row r="66" customFormat="false" ht="15" hidden="false" customHeight="false" outlineLevel="0" collapsed="false">
      <c r="A66" s="11" t="s">
        <v>77</v>
      </c>
      <c r="B66" s="51" t="n">
        <v>45</v>
      </c>
      <c r="C66" s="59" t="n">
        <f aca="false">B66/904</f>
        <v>0.0497787610619469</v>
      </c>
    </row>
    <row r="67" customFormat="false" ht="15" hidden="false" customHeight="false" outlineLevel="0" collapsed="false">
      <c r="A67" s="11" t="s">
        <v>75</v>
      </c>
      <c r="B67" s="51" t="n">
        <v>35</v>
      </c>
      <c r="C67" s="59" t="n">
        <f aca="false">B67/904</f>
        <v>0.038716814159292</v>
      </c>
    </row>
    <row r="68" customFormat="false" ht="15" hidden="false" customHeight="false" outlineLevel="0" collapsed="false">
      <c r="A68" s="11" t="s">
        <v>76</v>
      </c>
      <c r="B68" s="51" t="n">
        <v>21</v>
      </c>
      <c r="C68" s="59" t="n">
        <f aca="false">B68/904</f>
        <v>0.0232300884955752</v>
      </c>
    </row>
    <row r="69" customFormat="false" ht="15" hidden="false" customHeight="false" outlineLevel="0" collapsed="false">
      <c r="A69" s="11" t="s">
        <v>83</v>
      </c>
      <c r="B69" s="51" t="n">
        <v>7</v>
      </c>
      <c r="C69" s="59" t="n">
        <f aca="false">B69/904</f>
        <v>0.00774336283185841</v>
      </c>
    </row>
    <row r="70" customFormat="false" ht="15" hidden="false" customHeight="false" outlineLevel="0" collapsed="false">
      <c r="A70" s="11" t="s">
        <v>78</v>
      </c>
      <c r="B70" s="51" t="n">
        <v>6</v>
      </c>
      <c r="C70" s="59" t="n">
        <f aca="false">B70/904</f>
        <v>0.00663716814159292</v>
      </c>
    </row>
    <row r="71" customFormat="false" ht="15" hidden="false" customHeight="false" outlineLevel="0" collapsed="false">
      <c r="A71" s="11" t="s">
        <v>79</v>
      </c>
      <c r="B71" s="51" t="n">
        <v>4</v>
      </c>
      <c r="C71" s="59" t="n">
        <f aca="false">B71/904</f>
        <v>0.00442477876106195</v>
      </c>
    </row>
    <row r="72" customFormat="false" ht="15" hidden="false" customHeight="false" outlineLevel="0" collapsed="false">
      <c r="A72" s="11" t="s">
        <v>80</v>
      </c>
      <c r="B72" s="51" t="n">
        <v>4</v>
      </c>
      <c r="C72" s="59" t="n">
        <f aca="false">B72/904</f>
        <v>0.00442477876106195</v>
      </c>
    </row>
    <row r="73" customFormat="false" ht="15" hidden="false" customHeight="false" outlineLevel="0" collapsed="false">
      <c r="A73" s="11" t="s">
        <v>81</v>
      </c>
      <c r="B73" s="51" t="n">
        <v>2</v>
      </c>
      <c r="C73" s="59" t="n">
        <f aca="false">B73/904</f>
        <v>0.00221238938053097</v>
      </c>
    </row>
    <row r="74" customFormat="false" ht="15" hidden="false" customHeight="false" outlineLevel="0" collapsed="false">
      <c r="A74" s="11" t="s">
        <v>87</v>
      </c>
      <c r="B74" s="51" t="n">
        <v>2</v>
      </c>
      <c r="C74" s="59" t="n">
        <f aca="false">B74/904</f>
        <v>0.00221238938053097</v>
      </c>
    </row>
    <row r="75" customFormat="false" ht="15" hidden="false" customHeight="false" outlineLevel="0" collapsed="false">
      <c r="A75" s="11" t="s">
        <v>86</v>
      </c>
      <c r="B75" s="51" t="n">
        <v>2</v>
      </c>
      <c r="C75" s="59" t="n">
        <f aca="false">B75/904</f>
        <v>0.00221238938053097</v>
      </c>
    </row>
    <row r="76" customFormat="false" ht="15" hidden="false" customHeight="false" outlineLevel="0" collapsed="false">
      <c r="A76" s="11" t="s">
        <v>82</v>
      </c>
      <c r="B76" s="51" t="n">
        <v>2</v>
      </c>
      <c r="C76" s="59" t="n">
        <f aca="false">B76/904</f>
        <v>0.00221238938053097</v>
      </c>
    </row>
    <row r="77" customFormat="false" ht="15" hidden="false" customHeight="false" outlineLevel="0" collapsed="false">
      <c r="A77" s="11" t="s">
        <v>85</v>
      </c>
      <c r="B77" s="51" t="n">
        <v>1</v>
      </c>
      <c r="C77" s="59" t="n">
        <f aca="false">B77/904</f>
        <v>0.00110619469026549</v>
      </c>
    </row>
    <row r="80" customFormat="false" ht="19.4" hidden="false" customHeight="false" outlineLevel="0" collapsed="false">
      <c r="A80" s="46" t="s">
        <v>188</v>
      </c>
      <c r="B80" s="46"/>
      <c r="C80" s="46"/>
      <c r="D80" s="46"/>
      <c r="E80" s="46"/>
      <c r="F80" s="46"/>
    </row>
    <row r="81" customFormat="false" ht="42" hidden="false" customHeight="true" outlineLevel="0" collapsed="false">
      <c r="A81" s="60" t="s">
        <v>189</v>
      </c>
      <c r="B81" s="61" t="s">
        <v>209</v>
      </c>
      <c r="C81" s="61"/>
      <c r="D81" s="61"/>
      <c r="E81" s="61"/>
      <c r="F81" s="61"/>
    </row>
    <row r="82" customFormat="false" ht="42" hidden="false" customHeight="true" outlineLevel="0" collapsed="false">
      <c r="A82" s="60" t="s">
        <v>189</v>
      </c>
      <c r="B82" s="61"/>
      <c r="C82" s="61"/>
      <c r="D82" s="61"/>
      <c r="E82" s="61"/>
      <c r="F82" s="61"/>
    </row>
    <row r="83" customFormat="false" ht="42" hidden="false" customHeight="true" outlineLevel="0" collapsed="false">
      <c r="A83" s="60" t="s">
        <v>189</v>
      </c>
      <c r="B83" s="61" t="s">
        <v>210</v>
      </c>
      <c r="C83" s="61"/>
      <c r="D83" s="61"/>
      <c r="E83" s="61"/>
      <c r="F83" s="61"/>
    </row>
    <row r="84" customFormat="false" ht="42" hidden="false" customHeight="true" outlineLevel="0" collapsed="false">
      <c r="A84" s="60" t="s">
        <v>199</v>
      </c>
      <c r="B84" s="61" t="s">
        <v>211</v>
      </c>
      <c r="C84" s="61"/>
      <c r="D84" s="61"/>
      <c r="E84" s="61"/>
      <c r="F84" s="61"/>
    </row>
    <row r="85" customFormat="false" ht="42" hidden="false" customHeight="true" outlineLevel="0" collapsed="false">
      <c r="A85" s="60" t="s">
        <v>189</v>
      </c>
      <c r="B85" s="61" t="s">
        <v>212</v>
      </c>
      <c r="C85" s="61"/>
      <c r="D85" s="61"/>
      <c r="E85" s="61"/>
      <c r="F85" s="61"/>
    </row>
  </sheetData>
  <mergeCells count="13">
    <mergeCell ref="A1:F1"/>
    <mergeCell ref="A2:F2"/>
    <mergeCell ref="A4:F4"/>
    <mergeCell ref="A20:F20"/>
    <mergeCell ref="A34:F34"/>
    <mergeCell ref="A53:F53"/>
    <mergeCell ref="A64:F64"/>
    <mergeCell ref="A80:F80"/>
    <mergeCell ref="B81:F81"/>
    <mergeCell ref="B82:F82"/>
    <mergeCell ref="B83:F83"/>
    <mergeCell ref="B84:F84"/>
    <mergeCell ref="B85:F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35" t="s">
        <v>213</v>
      </c>
      <c r="B1" s="35"/>
      <c r="C1" s="35"/>
      <c r="D1" s="35"/>
      <c r="E1" s="35"/>
      <c r="F1" s="35"/>
    </row>
    <row r="2" customFormat="false" ht="15" hidden="false" customHeight="false" outlineLevel="0" collapsed="false">
      <c r="A2" s="2" t="s">
        <v>214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46" t="s">
        <v>137</v>
      </c>
      <c r="B4" s="46"/>
      <c r="C4" s="46"/>
      <c r="D4" s="46"/>
      <c r="E4" s="46"/>
      <c r="F4" s="46"/>
    </row>
    <row r="5" customFormat="false" ht="30.55" hidden="false" customHeight="false" outlineLevel="0" collapsed="false">
      <c r="A5" s="4" t="s">
        <v>138</v>
      </c>
      <c r="B5" s="5" t="s">
        <v>139</v>
      </c>
      <c r="D5" s="4" t="s">
        <v>140</v>
      </c>
      <c r="E5" s="5" t="s">
        <v>139</v>
      </c>
    </row>
    <row r="6" customFormat="false" ht="15" hidden="false" customHeight="false" outlineLevel="0" collapsed="false">
      <c r="A6" s="39" t="s">
        <v>46</v>
      </c>
      <c r="B6" s="47" t="n">
        <v>268</v>
      </c>
      <c r="D6" s="41" t="s">
        <v>66</v>
      </c>
      <c r="E6" s="48" t="n">
        <v>181</v>
      </c>
    </row>
    <row r="7" customFormat="false" ht="15" hidden="false" customHeight="false" outlineLevel="0" collapsed="false">
      <c r="A7" s="39" t="s">
        <v>47</v>
      </c>
      <c r="B7" s="47" t="n">
        <v>158</v>
      </c>
      <c r="D7" s="41" t="s">
        <v>65</v>
      </c>
      <c r="E7" s="48" t="n">
        <v>126</v>
      </c>
    </row>
    <row r="8" customFormat="false" ht="15" hidden="false" customHeight="false" outlineLevel="0" collapsed="false">
      <c r="A8" s="39" t="s">
        <v>55</v>
      </c>
      <c r="B8" s="47" t="n">
        <v>58</v>
      </c>
      <c r="D8" s="41" t="s">
        <v>64</v>
      </c>
      <c r="E8" s="48" t="n">
        <v>86</v>
      </c>
    </row>
    <row r="9" customFormat="false" ht="15" hidden="false" customHeight="false" outlineLevel="0" collapsed="false">
      <c r="A9" s="39" t="s">
        <v>52</v>
      </c>
      <c r="B9" s="47" t="n">
        <v>53</v>
      </c>
      <c r="D9" s="41" t="s">
        <v>71</v>
      </c>
      <c r="E9" s="48" t="n">
        <v>79</v>
      </c>
    </row>
    <row r="10" customFormat="false" ht="15" hidden="false" customHeight="false" outlineLevel="0" collapsed="false">
      <c r="A10" s="39" t="s">
        <v>48</v>
      </c>
      <c r="B10" s="47" t="n">
        <v>31</v>
      </c>
      <c r="D10" s="41" t="s">
        <v>62</v>
      </c>
      <c r="E10" s="48" t="n">
        <v>59</v>
      </c>
    </row>
    <row r="11" customFormat="false" ht="15" hidden="false" customHeight="false" outlineLevel="0" collapsed="false">
      <c r="A11" s="39" t="s">
        <v>112</v>
      </c>
      <c r="B11" s="47" t="n">
        <v>26</v>
      </c>
      <c r="D11" s="41" t="s">
        <v>67</v>
      </c>
      <c r="E11" s="48" t="n">
        <v>50</v>
      </c>
    </row>
    <row r="12" customFormat="false" ht="15" hidden="false" customHeight="false" outlineLevel="0" collapsed="false">
      <c r="A12" s="39" t="s">
        <v>215</v>
      </c>
      <c r="B12" s="47" t="n">
        <v>25</v>
      </c>
      <c r="D12" s="41" t="s">
        <v>70</v>
      </c>
      <c r="E12" s="48" t="n">
        <v>42</v>
      </c>
    </row>
    <row r="13" customFormat="false" ht="15" hidden="false" customHeight="false" outlineLevel="0" collapsed="false">
      <c r="A13" s="39" t="s">
        <v>53</v>
      </c>
      <c r="B13" s="47" t="n">
        <v>24</v>
      </c>
      <c r="D13" s="41" t="s">
        <v>72</v>
      </c>
      <c r="E13" s="48" t="n">
        <v>41</v>
      </c>
    </row>
    <row r="14" customFormat="false" ht="15" hidden="false" customHeight="false" outlineLevel="0" collapsed="false">
      <c r="A14" s="39" t="s">
        <v>216</v>
      </c>
      <c r="B14" s="47" t="n">
        <v>23</v>
      </c>
      <c r="D14" s="41" t="s">
        <v>63</v>
      </c>
      <c r="E14" s="48" t="n">
        <v>31</v>
      </c>
    </row>
    <row r="15" customFormat="false" ht="15" hidden="false" customHeight="false" outlineLevel="0" collapsed="false">
      <c r="A15" s="39" t="s">
        <v>217</v>
      </c>
      <c r="B15" s="47" t="n">
        <v>17</v>
      </c>
      <c r="D15" s="41" t="s">
        <v>218</v>
      </c>
      <c r="E15" s="48" t="n">
        <v>24</v>
      </c>
    </row>
    <row r="16" customFormat="false" ht="15" hidden="false" customHeight="false" outlineLevel="0" collapsed="false">
      <c r="A16" s="39" t="s">
        <v>51</v>
      </c>
      <c r="B16" s="47" t="n">
        <v>14</v>
      </c>
      <c r="D16" s="41" t="s">
        <v>203</v>
      </c>
      <c r="E16" s="48" t="n">
        <v>17</v>
      </c>
    </row>
    <row r="17" customFormat="false" ht="15" hidden="false" customHeight="false" outlineLevel="0" collapsed="false">
      <c r="A17" s="39" t="s">
        <v>49</v>
      </c>
      <c r="B17" s="47" t="n">
        <v>14</v>
      </c>
      <c r="D17" s="41" t="s">
        <v>69</v>
      </c>
      <c r="E17" s="48" t="n">
        <v>14</v>
      </c>
    </row>
    <row r="20" customFormat="false" ht="15" hidden="false" customHeight="false" outlineLevel="0" collapsed="false">
      <c r="A20" s="46" t="s">
        <v>141</v>
      </c>
      <c r="B20" s="46"/>
      <c r="C20" s="46"/>
      <c r="D20" s="46"/>
      <c r="E20" s="46"/>
      <c r="F20" s="46"/>
    </row>
    <row r="21" customFormat="false" ht="17.15" hidden="false" customHeight="false" outlineLevel="0" collapsed="false">
      <c r="A21" s="5" t="s">
        <v>142</v>
      </c>
      <c r="B21" s="5" t="s">
        <v>143</v>
      </c>
      <c r="C21" s="5" t="s">
        <v>144</v>
      </c>
      <c r="D21" s="5" t="s">
        <v>145</v>
      </c>
      <c r="E21" s="5" t="s">
        <v>146</v>
      </c>
    </row>
    <row r="22" customFormat="false" ht="26.85" hidden="false" customHeight="false" outlineLevel="0" collapsed="false">
      <c r="A22" s="7" t="s">
        <v>147</v>
      </c>
      <c r="B22" s="7" t="s">
        <v>148</v>
      </c>
      <c r="C22" s="7" t="s">
        <v>149</v>
      </c>
      <c r="D22" s="49" t="n">
        <v>882</v>
      </c>
      <c r="E22" s="50" t="n">
        <v>0.36</v>
      </c>
    </row>
    <row r="23" customFormat="false" ht="26.85" hidden="false" customHeight="false" outlineLevel="0" collapsed="false">
      <c r="A23" s="11" t="s">
        <v>147</v>
      </c>
      <c r="B23" s="11" t="s">
        <v>148</v>
      </c>
      <c r="C23" s="11" t="s">
        <v>150</v>
      </c>
      <c r="D23" s="51" t="n">
        <v>804</v>
      </c>
      <c r="E23" s="52" t="n">
        <v>0.33</v>
      </c>
    </row>
    <row r="24" customFormat="false" ht="26.85" hidden="false" customHeight="false" outlineLevel="0" collapsed="false">
      <c r="A24" s="7" t="s">
        <v>147</v>
      </c>
      <c r="B24" s="7" t="s">
        <v>148</v>
      </c>
      <c r="C24" s="7" t="s">
        <v>151</v>
      </c>
      <c r="D24" s="49" t="n">
        <v>453</v>
      </c>
      <c r="E24" s="50" t="n">
        <v>0.18</v>
      </c>
    </row>
    <row r="25" customFormat="false" ht="26.85" hidden="false" customHeight="false" outlineLevel="0" collapsed="false">
      <c r="A25" s="11" t="s">
        <v>147</v>
      </c>
      <c r="B25" s="11" t="s">
        <v>148</v>
      </c>
      <c r="C25" s="11" t="s">
        <v>152</v>
      </c>
      <c r="D25" s="51" t="n">
        <v>273</v>
      </c>
      <c r="E25" s="52" t="n">
        <v>0.11</v>
      </c>
    </row>
    <row r="26" customFormat="false" ht="15" hidden="false" customHeight="false" outlineLevel="0" collapsed="false">
      <c r="A26" s="7" t="s">
        <v>158</v>
      </c>
      <c r="B26" s="7" t="s">
        <v>159</v>
      </c>
      <c r="C26" s="53" t="s">
        <v>160</v>
      </c>
      <c r="D26" s="49" t="n">
        <v>1509</v>
      </c>
      <c r="E26" s="54" t="n">
        <v>0.62</v>
      </c>
    </row>
    <row r="27" customFormat="false" ht="15" hidden="false" customHeight="false" outlineLevel="0" collapsed="false">
      <c r="A27" s="11" t="s">
        <v>158</v>
      </c>
      <c r="B27" s="11" t="s">
        <v>159</v>
      </c>
      <c r="C27" s="11" t="s">
        <v>156</v>
      </c>
      <c r="D27" s="51" t="n">
        <v>867</v>
      </c>
      <c r="E27" s="52" t="n">
        <v>0.35</v>
      </c>
    </row>
    <row r="28" customFormat="false" ht="15" hidden="false" customHeight="false" outlineLevel="0" collapsed="false">
      <c r="A28" s="7" t="s">
        <v>158</v>
      </c>
      <c r="B28" s="7" t="s">
        <v>159</v>
      </c>
      <c r="C28" s="7" t="s">
        <v>161</v>
      </c>
      <c r="D28" s="49" t="n">
        <v>36</v>
      </c>
      <c r="E28" s="50" t="n">
        <v>0.01</v>
      </c>
    </row>
    <row r="29" customFormat="false" ht="15" hidden="false" customHeight="false" outlineLevel="0" collapsed="false">
      <c r="A29" s="11" t="s">
        <v>205</v>
      </c>
      <c r="B29" s="11" t="s">
        <v>206</v>
      </c>
      <c r="C29" s="55" t="s">
        <v>155</v>
      </c>
      <c r="D29" s="51" t="n">
        <v>1389</v>
      </c>
      <c r="E29" s="56" t="n">
        <v>0.57</v>
      </c>
    </row>
    <row r="30" customFormat="false" ht="15" hidden="false" customHeight="false" outlineLevel="0" collapsed="false">
      <c r="A30" s="7" t="s">
        <v>205</v>
      </c>
      <c r="B30" s="7" t="s">
        <v>206</v>
      </c>
      <c r="C30" s="7" t="s">
        <v>156</v>
      </c>
      <c r="D30" s="49" t="n">
        <v>897</v>
      </c>
      <c r="E30" s="50" t="n">
        <v>0.37</v>
      </c>
    </row>
    <row r="31" customFormat="false" ht="15" hidden="false" customHeight="false" outlineLevel="0" collapsed="false">
      <c r="A31" s="11" t="s">
        <v>205</v>
      </c>
      <c r="B31" s="11" t="s">
        <v>206</v>
      </c>
      <c r="C31" s="11" t="s">
        <v>157</v>
      </c>
      <c r="D31" s="51" t="n">
        <v>126</v>
      </c>
      <c r="E31" s="52" t="n">
        <v>0.05</v>
      </c>
    </row>
    <row r="34" customFormat="false" ht="19.4" hidden="false" customHeight="false" outlineLevel="0" collapsed="false">
      <c r="A34" s="46" t="s">
        <v>167</v>
      </c>
      <c r="B34" s="46"/>
      <c r="C34" s="46"/>
      <c r="D34" s="46"/>
      <c r="E34" s="46"/>
      <c r="F34" s="46"/>
    </row>
    <row r="35" customFormat="false" ht="17.15" hidden="false" customHeight="false" outlineLevel="0" collapsed="false">
      <c r="A35" s="5" t="s">
        <v>168</v>
      </c>
      <c r="B35" s="5" t="s">
        <v>169</v>
      </c>
      <c r="C35" s="5" t="s">
        <v>170</v>
      </c>
      <c r="D35" s="5" t="s">
        <v>171</v>
      </c>
      <c r="E35" s="5" t="s">
        <v>172</v>
      </c>
    </row>
    <row r="36" customFormat="false" ht="15" hidden="false" customHeight="false" outlineLevel="0" collapsed="false">
      <c r="A36" s="55" t="s">
        <v>46</v>
      </c>
      <c r="B36" s="58" t="s">
        <v>174</v>
      </c>
      <c r="C36" s="51" t="n">
        <v>209</v>
      </c>
      <c r="D36" s="57" t="n">
        <v>77.6</v>
      </c>
      <c r="E36" s="57" t="n">
        <v>45</v>
      </c>
    </row>
    <row r="37" customFormat="false" ht="15" hidden="false" customHeight="false" outlineLevel="0" collapsed="false">
      <c r="A37" s="55" t="s">
        <v>90</v>
      </c>
      <c r="B37" s="11" t="s">
        <v>173</v>
      </c>
      <c r="C37" s="51" t="n">
        <v>96</v>
      </c>
      <c r="D37" s="57" t="n">
        <v>35.6</v>
      </c>
      <c r="E37" s="57" t="n">
        <v>21.4</v>
      </c>
    </row>
    <row r="38" customFormat="false" ht="15" hidden="false" customHeight="false" outlineLevel="0" collapsed="false">
      <c r="A38" s="55" t="s">
        <v>64</v>
      </c>
      <c r="B38" s="15" t="s">
        <v>176</v>
      </c>
      <c r="C38" s="51" t="n">
        <v>66</v>
      </c>
      <c r="D38" s="57" t="n">
        <v>24.5</v>
      </c>
      <c r="E38" s="57" t="n">
        <v>15</v>
      </c>
    </row>
    <row r="39" customFormat="false" ht="15" hidden="false" customHeight="false" outlineLevel="0" collapsed="false">
      <c r="A39" s="55" t="s">
        <v>67</v>
      </c>
      <c r="B39" s="15" t="s">
        <v>176</v>
      </c>
      <c r="C39" s="51" t="n">
        <v>50</v>
      </c>
      <c r="D39" s="57" t="n">
        <v>18.6</v>
      </c>
      <c r="E39" s="57" t="n">
        <v>0</v>
      </c>
    </row>
    <row r="40" customFormat="false" ht="15" hidden="false" customHeight="false" outlineLevel="0" collapsed="false">
      <c r="A40" s="55" t="s">
        <v>91</v>
      </c>
      <c r="B40" s="11" t="s">
        <v>173</v>
      </c>
      <c r="C40" s="51" t="n">
        <v>40</v>
      </c>
      <c r="D40" s="57" t="n">
        <v>14.8</v>
      </c>
      <c r="E40" s="57" t="n">
        <v>0</v>
      </c>
    </row>
    <row r="41" customFormat="false" ht="15" hidden="false" customHeight="false" outlineLevel="0" collapsed="false">
      <c r="A41" s="55" t="s">
        <v>93</v>
      </c>
      <c r="B41" s="11" t="s">
        <v>173</v>
      </c>
      <c r="C41" s="51" t="n">
        <v>30</v>
      </c>
      <c r="D41" s="57" t="n">
        <v>11.1</v>
      </c>
      <c r="E41" s="57" t="n">
        <v>2.1</v>
      </c>
    </row>
    <row r="42" customFormat="false" ht="15" hidden="false" customHeight="false" outlineLevel="0" collapsed="false">
      <c r="A42" s="55" t="s">
        <v>92</v>
      </c>
      <c r="B42" s="11" t="s">
        <v>173</v>
      </c>
      <c r="C42" s="51" t="n">
        <v>28</v>
      </c>
      <c r="D42" s="57" t="n">
        <v>10.4</v>
      </c>
      <c r="E42" s="57" t="n">
        <v>0</v>
      </c>
    </row>
    <row r="43" customFormat="false" ht="15" hidden="false" customHeight="false" outlineLevel="0" collapsed="false">
      <c r="A43" s="55" t="s">
        <v>175</v>
      </c>
      <c r="B43" s="15" t="s">
        <v>176</v>
      </c>
      <c r="C43" s="51" t="n">
        <v>27</v>
      </c>
      <c r="D43" s="57" t="n">
        <v>10</v>
      </c>
      <c r="E43" s="57" t="n">
        <v>0</v>
      </c>
    </row>
    <row r="44" customFormat="false" ht="15" hidden="false" customHeight="false" outlineLevel="0" collapsed="false">
      <c r="A44" s="55" t="s">
        <v>207</v>
      </c>
      <c r="B44" s="11" t="s">
        <v>173</v>
      </c>
      <c r="C44" s="51" t="n">
        <v>27</v>
      </c>
      <c r="D44" s="57" t="n">
        <v>10</v>
      </c>
      <c r="E44" s="57" t="n">
        <v>0</v>
      </c>
    </row>
    <row r="45" customFormat="false" ht="15" hidden="false" customHeight="false" outlineLevel="0" collapsed="false">
      <c r="A45" s="55" t="s">
        <v>75</v>
      </c>
      <c r="B45" s="11" t="s">
        <v>173</v>
      </c>
      <c r="C45" s="51" t="n">
        <v>26</v>
      </c>
      <c r="D45" s="57" t="n">
        <v>9.6</v>
      </c>
      <c r="E45" s="57" t="n">
        <v>2.1</v>
      </c>
    </row>
    <row r="46" customFormat="false" ht="15" hidden="false" customHeight="false" outlineLevel="0" collapsed="false">
      <c r="A46" s="55" t="s">
        <v>219</v>
      </c>
      <c r="B46" s="11" t="s">
        <v>173</v>
      </c>
      <c r="C46" s="51" t="n">
        <v>23</v>
      </c>
      <c r="D46" s="57" t="n">
        <v>8.5</v>
      </c>
      <c r="E46" s="57" t="n">
        <v>6.4</v>
      </c>
    </row>
    <row r="47" customFormat="false" ht="15" hidden="false" customHeight="false" outlineLevel="0" collapsed="false">
      <c r="A47" s="55" t="s">
        <v>94</v>
      </c>
      <c r="B47" s="11" t="s">
        <v>173</v>
      </c>
      <c r="C47" s="51" t="n">
        <v>23</v>
      </c>
      <c r="D47" s="57" t="n">
        <v>8.5</v>
      </c>
      <c r="E47" s="57" t="n">
        <v>0</v>
      </c>
    </row>
    <row r="48" customFormat="false" ht="15" hidden="false" customHeight="false" outlineLevel="0" collapsed="false">
      <c r="A48" s="55" t="s">
        <v>215</v>
      </c>
      <c r="B48" s="58" t="s">
        <v>174</v>
      </c>
      <c r="C48" s="51" t="n">
        <v>20</v>
      </c>
      <c r="D48" s="57" t="n">
        <v>7.4</v>
      </c>
      <c r="E48" s="57" t="n">
        <v>0</v>
      </c>
    </row>
    <row r="49" customFormat="false" ht="15" hidden="false" customHeight="false" outlineLevel="0" collapsed="false">
      <c r="A49" s="55" t="s">
        <v>218</v>
      </c>
      <c r="B49" s="15" t="s">
        <v>176</v>
      </c>
      <c r="C49" s="51" t="n">
        <v>20</v>
      </c>
      <c r="D49" s="57" t="n">
        <v>7.4</v>
      </c>
      <c r="E49" s="57" t="n">
        <v>2.1</v>
      </c>
    </row>
    <row r="50" customFormat="false" ht="15" hidden="false" customHeight="false" outlineLevel="0" collapsed="false">
      <c r="A50" s="55" t="s">
        <v>220</v>
      </c>
      <c r="B50" s="11" t="s">
        <v>173</v>
      </c>
      <c r="C50" s="51" t="n">
        <v>17</v>
      </c>
      <c r="D50" s="57" t="n">
        <v>6.3</v>
      </c>
      <c r="E50" s="57" t="n">
        <v>0</v>
      </c>
    </row>
    <row r="53" customFormat="false" ht="15" hidden="false" customHeight="false" outlineLevel="0" collapsed="false">
      <c r="A53" s="46" t="s">
        <v>182</v>
      </c>
      <c r="B53" s="46"/>
      <c r="C53" s="46"/>
      <c r="D53" s="46"/>
      <c r="E53" s="46"/>
      <c r="F53" s="46"/>
    </row>
    <row r="54" customFormat="false" ht="17.15" hidden="false" customHeight="false" outlineLevel="0" collapsed="false">
      <c r="A54" s="5" t="s">
        <v>183</v>
      </c>
      <c r="B54" s="5" t="s">
        <v>184</v>
      </c>
      <c r="C54" s="5" t="s">
        <v>185</v>
      </c>
    </row>
    <row r="55" customFormat="false" ht="15" hidden="false" customHeight="false" outlineLevel="0" collapsed="false">
      <c r="A55" s="11" t="s">
        <v>52</v>
      </c>
      <c r="B55" s="51" t="n">
        <v>32</v>
      </c>
      <c r="C55" s="59" t="n">
        <f aca="false">B55/847</f>
        <v>0.0377804014167651</v>
      </c>
    </row>
    <row r="56" customFormat="false" ht="15" hidden="false" customHeight="false" outlineLevel="0" collapsed="false">
      <c r="A56" s="11" t="s">
        <v>97</v>
      </c>
      <c r="B56" s="51" t="n">
        <v>10</v>
      </c>
      <c r="C56" s="59" t="n">
        <f aca="false">B56/847</f>
        <v>0.0118063754427391</v>
      </c>
    </row>
    <row r="57" customFormat="false" ht="15" hidden="false" customHeight="false" outlineLevel="0" collapsed="false">
      <c r="A57" s="11" t="s">
        <v>73</v>
      </c>
      <c r="B57" s="51" t="n">
        <v>6</v>
      </c>
      <c r="C57" s="59" t="n">
        <f aca="false">B57/847</f>
        <v>0.00708382526564345</v>
      </c>
    </row>
    <row r="58" customFormat="false" ht="15" hidden="false" customHeight="false" outlineLevel="0" collapsed="false">
      <c r="A58" s="11" t="s">
        <v>100</v>
      </c>
      <c r="B58" s="51" t="n">
        <v>6</v>
      </c>
      <c r="C58" s="59" t="n">
        <f aca="false">B58/847</f>
        <v>0.00708382526564345</v>
      </c>
    </row>
    <row r="59" customFormat="false" ht="15" hidden="false" customHeight="false" outlineLevel="0" collapsed="false">
      <c r="A59" s="11" t="s">
        <v>99</v>
      </c>
      <c r="B59" s="51" t="n">
        <v>2</v>
      </c>
      <c r="C59" s="59" t="n">
        <f aca="false">B59/847</f>
        <v>0.00236127508854782</v>
      </c>
    </row>
    <row r="60" customFormat="false" ht="15" hidden="false" customHeight="false" outlineLevel="0" collapsed="false">
      <c r="A60" s="11" t="s">
        <v>96</v>
      </c>
      <c r="B60" s="51" t="n">
        <v>2</v>
      </c>
      <c r="C60" s="59" t="n">
        <f aca="false">B60/847</f>
        <v>0.00236127508854782</v>
      </c>
    </row>
    <row r="63" customFormat="false" ht="19.4" hidden="false" customHeight="false" outlineLevel="0" collapsed="false">
      <c r="A63" s="46" t="s">
        <v>186</v>
      </c>
      <c r="B63" s="46"/>
      <c r="C63" s="46"/>
      <c r="D63" s="46"/>
      <c r="E63" s="46"/>
      <c r="F63" s="46"/>
    </row>
    <row r="64" customFormat="false" ht="17.15" hidden="false" customHeight="false" outlineLevel="0" collapsed="false">
      <c r="A64" s="5" t="s">
        <v>187</v>
      </c>
      <c r="B64" s="5" t="s">
        <v>184</v>
      </c>
      <c r="C64" s="5" t="s">
        <v>185</v>
      </c>
    </row>
    <row r="65" customFormat="false" ht="15" hidden="false" customHeight="false" outlineLevel="0" collapsed="false">
      <c r="A65" s="11" t="s">
        <v>75</v>
      </c>
      <c r="B65" s="51" t="n">
        <v>32</v>
      </c>
      <c r="C65" s="59" t="n">
        <f aca="false">B65/847</f>
        <v>0.0377804014167651</v>
      </c>
    </row>
    <row r="66" customFormat="false" ht="15" hidden="false" customHeight="false" outlineLevel="0" collapsed="false">
      <c r="A66" s="11" t="s">
        <v>76</v>
      </c>
      <c r="B66" s="51" t="n">
        <v>29</v>
      </c>
      <c r="C66" s="59" t="n">
        <f aca="false">B66/847</f>
        <v>0.0342384887839433</v>
      </c>
    </row>
    <row r="67" customFormat="false" ht="15" hidden="false" customHeight="false" outlineLevel="0" collapsed="false">
      <c r="A67" s="11" t="s">
        <v>77</v>
      </c>
      <c r="B67" s="51" t="n">
        <v>26</v>
      </c>
      <c r="C67" s="59" t="n">
        <f aca="false">B67/847</f>
        <v>0.0306965761511216</v>
      </c>
    </row>
    <row r="68" customFormat="false" ht="15" hidden="false" customHeight="false" outlineLevel="0" collapsed="false">
      <c r="A68" s="11" t="s">
        <v>79</v>
      </c>
      <c r="B68" s="51" t="n">
        <v>8</v>
      </c>
      <c r="C68" s="59" t="n">
        <f aca="false">B68/847</f>
        <v>0.00944510035419126</v>
      </c>
    </row>
    <row r="69" customFormat="false" ht="15" hidden="false" customHeight="false" outlineLevel="0" collapsed="false">
      <c r="A69" s="11" t="s">
        <v>81</v>
      </c>
      <c r="B69" s="51" t="n">
        <v>7</v>
      </c>
      <c r="C69" s="59" t="n">
        <f aca="false">B69/847</f>
        <v>0.00826446280991736</v>
      </c>
    </row>
    <row r="70" customFormat="false" ht="15" hidden="false" customHeight="false" outlineLevel="0" collapsed="false">
      <c r="A70" s="11" t="s">
        <v>78</v>
      </c>
      <c r="B70" s="51" t="n">
        <v>3</v>
      </c>
      <c r="C70" s="59" t="n">
        <f aca="false">B70/847</f>
        <v>0.00354191263282172</v>
      </c>
    </row>
    <row r="71" customFormat="false" ht="15" hidden="false" customHeight="false" outlineLevel="0" collapsed="false">
      <c r="A71" s="11" t="s">
        <v>86</v>
      </c>
      <c r="B71" s="51" t="n">
        <v>3</v>
      </c>
      <c r="C71" s="59" t="n">
        <f aca="false">B71/847</f>
        <v>0.00354191263282172</v>
      </c>
    </row>
    <row r="72" customFormat="false" ht="15" hidden="false" customHeight="false" outlineLevel="0" collapsed="false">
      <c r="A72" s="11" t="s">
        <v>80</v>
      </c>
      <c r="B72" s="51" t="n">
        <v>2</v>
      </c>
      <c r="C72" s="59" t="n">
        <f aca="false">B72/847</f>
        <v>0.00236127508854782</v>
      </c>
    </row>
    <row r="73" customFormat="false" ht="15" hidden="false" customHeight="false" outlineLevel="0" collapsed="false">
      <c r="A73" s="11" t="s">
        <v>87</v>
      </c>
      <c r="B73" s="51" t="n">
        <v>1</v>
      </c>
      <c r="C73" s="59" t="n">
        <f aca="false">B73/847</f>
        <v>0.00118063754427391</v>
      </c>
    </row>
    <row r="74" customFormat="false" ht="15" hidden="false" customHeight="false" outlineLevel="0" collapsed="false">
      <c r="A74" s="11" t="s">
        <v>84</v>
      </c>
      <c r="B74" s="51" t="n">
        <v>1</v>
      </c>
      <c r="C74" s="59" t="n">
        <f aca="false">B74/847</f>
        <v>0.00118063754427391</v>
      </c>
    </row>
    <row r="75" customFormat="false" ht="15" hidden="false" customHeight="false" outlineLevel="0" collapsed="false">
      <c r="A75" s="11" t="s">
        <v>82</v>
      </c>
      <c r="B75" s="51" t="n">
        <v>1</v>
      </c>
      <c r="C75" s="59" t="n">
        <f aca="false">B75/847</f>
        <v>0.00118063754427391</v>
      </c>
    </row>
    <row r="76" customFormat="false" ht="15" hidden="false" customHeight="false" outlineLevel="0" collapsed="false">
      <c r="A76" s="11" t="s">
        <v>85</v>
      </c>
      <c r="B76" s="51" t="n">
        <v>1</v>
      </c>
      <c r="C76" s="59" t="n">
        <f aca="false">B76/847</f>
        <v>0.00118063754427391</v>
      </c>
    </row>
    <row r="79" customFormat="false" ht="19.4" hidden="false" customHeight="false" outlineLevel="0" collapsed="false">
      <c r="A79" s="46" t="s">
        <v>188</v>
      </c>
      <c r="B79" s="46"/>
      <c r="C79" s="46"/>
      <c r="D79" s="46"/>
      <c r="E79" s="46"/>
      <c r="F79" s="46"/>
    </row>
    <row r="80" customFormat="false" ht="42" hidden="false" customHeight="true" outlineLevel="0" collapsed="false">
      <c r="A80" s="60" t="s">
        <v>189</v>
      </c>
      <c r="B80" s="61"/>
      <c r="C80" s="61"/>
      <c r="D80" s="61"/>
      <c r="E80" s="61"/>
      <c r="F80" s="61"/>
    </row>
    <row r="81" customFormat="false" ht="42" hidden="false" customHeight="true" outlineLevel="0" collapsed="false">
      <c r="A81" s="60" t="s">
        <v>189</v>
      </c>
      <c r="B81" s="61" t="s">
        <v>221</v>
      </c>
      <c r="C81" s="61"/>
      <c r="D81" s="61"/>
      <c r="E81" s="61"/>
      <c r="F81" s="61"/>
    </row>
    <row r="82" customFormat="false" ht="42" hidden="false" customHeight="true" outlineLevel="0" collapsed="false">
      <c r="A82" s="60" t="s">
        <v>189</v>
      </c>
      <c r="B82" s="61"/>
      <c r="C82" s="61"/>
      <c r="D82" s="61"/>
      <c r="E82" s="61"/>
      <c r="F82" s="61"/>
    </row>
    <row r="83" customFormat="false" ht="42" hidden="false" customHeight="true" outlineLevel="0" collapsed="false">
      <c r="A83" s="60" t="s">
        <v>189</v>
      </c>
      <c r="B83" s="61"/>
      <c r="C83" s="61"/>
      <c r="D83" s="61"/>
      <c r="E83" s="61"/>
      <c r="F83" s="61"/>
    </row>
    <row r="84" customFormat="false" ht="42" hidden="false" customHeight="true" outlineLevel="0" collapsed="false">
      <c r="A84" s="60" t="s">
        <v>189</v>
      </c>
      <c r="B84" s="61" t="s">
        <v>222</v>
      </c>
      <c r="C84" s="61"/>
      <c r="D84" s="61"/>
      <c r="E84" s="61"/>
      <c r="F84" s="61"/>
    </row>
  </sheetData>
  <mergeCells count="13">
    <mergeCell ref="A1:F1"/>
    <mergeCell ref="A2:F2"/>
    <mergeCell ref="A4:F4"/>
    <mergeCell ref="A20:F20"/>
    <mergeCell ref="A34:F34"/>
    <mergeCell ref="A53:F53"/>
    <mergeCell ref="A63:F63"/>
    <mergeCell ref="A79:F79"/>
    <mergeCell ref="B80:F80"/>
    <mergeCell ref="B81:F81"/>
    <mergeCell ref="B82:F82"/>
    <mergeCell ref="B83:F83"/>
    <mergeCell ref="B84:F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35" t="s">
        <v>223</v>
      </c>
      <c r="B1" s="35"/>
      <c r="C1" s="35"/>
      <c r="D1" s="35"/>
      <c r="E1" s="35"/>
      <c r="F1" s="35"/>
    </row>
    <row r="2" customFormat="false" ht="15" hidden="false" customHeight="false" outlineLevel="0" collapsed="false">
      <c r="A2" s="2" t="s">
        <v>224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46" t="s">
        <v>137</v>
      </c>
      <c r="B4" s="46"/>
      <c r="C4" s="46"/>
      <c r="D4" s="46"/>
      <c r="E4" s="46"/>
      <c r="F4" s="46"/>
    </row>
    <row r="5" customFormat="false" ht="30.55" hidden="false" customHeight="false" outlineLevel="0" collapsed="false">
      <c r="A5" s="4" t="s">
        <v>138</v>
      </c>
      <c r="B5" s="5" t="s">
        <v>139</v>
      </c>
      <c r="D5" s="4" t="s">
        <v>140</v>
      </c>
      <c r="E5" s="5" t="s">
        <v>139</v>
      </c>
    </row>
    <row r="6" customFormat="false" ht="15" hidden="false" customHeight="false" outlineLevel="0" collapsed="false">
      <c r="A6" s="39" t="s">
        <v>46</v>
      </c>
      <c r="B6" s="47" t="n">
        <v>194</v>
      </c>
      <c r="D6" s="41" t="s">
        <v>62</v>
      </c>
      <c r="E6" s="48" t="n">
        <v>31</v>
      </c>
    </row>
    <row r="7" customFormat="false" ht="15" hidden="false" customHeight="false" outlineLevel="0" collapsed="false">
      <c r="A7" s="39" t="s">
        <v>51</v>
      </c>
      <c r="B7" s="47" t="n">
        <v>81</v>
      </c>
      <c r="D7" s="41" t="s">
        <v>63</v>
      </c>
      <c r="E7" s="48" t="n">
        <v>14</v>
      </c>
    </row>
    <row r="8" customFormat="false" ht="15" hidden="false" customHeight="false" outlineLevel="0" collapsed="false">
      <c r="A8" s="39" t="s">
        <v>49</v>
      </c>
      <c r="B8" s="47" t="n">
        <v>80</v>
      </c>
      <c r="D8" s="41" t="s">
        <v>64</v>
      </c>
      <c r="E8" s="48" t="n">
        <v>6</v>
      </c>
    </row>
    <row r="9" customFormat="false" ht="15" hidden="false" customHeight="false" outlineLevel="0" collapsed="false">
      <c r="A9" s="39" t="s">
        <v>48</v>
      </c>
      <c r="B9" s="47" t="n">
        <v>79</v>
      </c>
      <c r="D9" s="41" t="s">
        <v>65</v>
      </c>
      <c r="E9" s="48" t="n">
        <v>4</v>
      </c>
    </row>
    <row r="10" customFormat="false" ht="15" hidden="false" customHeight="false" outlineLevel="0" collapsed="false">
      <c r="A10" s="39" t="s">
        <v>47</v>
      </c>
      <c r="B10" s="47" t="n">
        <v>66</v>
      </c>
      <c r="D10" s="41" t="s">
        <v>67</v>
      </c>
      <c r="E10" s="48" t="n">
        <v>2</v>
      </c>
    </row>
    <row r="11" customFormat="false" ht="15" hidden="false" customHeight="false" outlineLevel="0" collapsed="false">
      <c r="A11" s="39" t="s">
        <v>50</v>
      </c>
      <c r="B11" s="47" t="n">
        <v>64</v>
      </c>
    </row>
    <row r="12" customFormat="false" ht="15" hidden="false" customHeight="false" outlineLevel="0" collapsed="false">
      <c r="A12" s="39" t="s">
        <v>52</v>
      </c>
      <c r="B12" s="47" t="n">
        <v>49</v>
      </c>
    </row>
    <row r="13" customFormat="false" ht="15" hidden="false" customHeight="false" outlineLevel="0" collapsed="false">
      <c r="A13" s="39" t="s">
        <v>54</v>
      </c>
      <c r="B13" s="47" t="n">
        <v>33</v>
      </c>
    </row>
    <row r="14" customFormat="false" ht="15" hidden="false" customHeight="false" outlineLevel="0" collapsed="false">
      <c r="A14" s="39" t="s">
        <v>53</v>
      </c>
      <c r="B14" s="47" t="n">
        <v>33</v>
      </c>
    </row>
    <row r="15" customFormat="false" ht="15" hidden="false" customHeight="false" outlineLevel="0" collapsed="false">
      <c r="A15" s="39" t="s">
        <v>58</v>
      </c>
      <c r="B15" s="47" t="n">
        <v>20</v>
      </c>
    </row>
    <row r="16" customFormat="false" ht="15" hidden="false" customHeight="false" outlineLevel="0" collapsed="false">
      <c r="A16" s="39" t="s">
        <v>112</v>
      </c>
      <c r="B16" s="47" t="n">
        <v>18</v>
      </c>
    </row>
    <row r="17" customFormat="false" ht="15" hidden="false" customHeight="false" outlineLevel="0" collapsed="false">
      <c r="A17" s="39" t="s">
        <v>127</v>
      </c>
      <c r="B17" s="47" t="n">
        <v>13</v>
      </c>
    </row>
    <row r="20" customFormat="false" ht="15" hidden="false" customHeight="false" outlineLevel="0" collapsed="false">
      <c r="A20" s="46" t="s">
        <v>141</v>
      </c>
      <c r="B20" s="46"/>
      <c r="C20" s="46"/>
      <c r="D20" s="46"/>
      <c r="E20" s="46"/>
      <c r="F20" s="46"/>
    </row>
    <row r="21" customFormat="false" ht="17.15" hidden="false" customHeight="false" outlineLevel="0" collapsed="false">
      <c r="A21" s="5" t="s">
        <v>142</v>
      </c>
      <c r="B21" s="5" t="s">
        <v>143</v>
      </c>
      <c r="C21" s="5" t="s">
        <v>144</v>
      </c>
      <c r="D21" s="5" t="s">
        <v>145</v>
      </c>
      <c r="E21" s="5" t="s">
        <v>146</v>
      </c>
    </row>
    <row r="22" customFormat="false" ht="26.85" hidden="false" customHeight="false" outlineLevel="0" collapsed="false">
      <c r="A22" s="7" t="s">
        <v>147</v>
      </c>
      <c r="B22" s="7" t="s">
        <v>148</v>
      </c>
      <c r="C22" s="7" t="s">
        <v>149</v>
      </c>
      <c r="D22" s="49" t="n">
        <v>104</v>
      </c>
      <c r="E22" s="50" t="n">
        <v>0.44</v>
      </c>
    </row>
    <row r="23" customFormat="false" ht="26.85" hidden="false" customHeight="false" outlineLevel="0" collapsed="false">
      <c r="A23" s="11" t="s">
        <v>147</v>
      </c>
      <c r="B23" s="11" t="s">
        <v>148</v>
      </c>
      <c r="C23" s="11" t="s">
        <v>151</v>
      </c>
      <c r="D23" s="51" t="n">
        <v>72</v>
      </c>
      <c r="E23" s="52" t="n">
        <v>0.3</v>
      </c>
    </row>
    <row r="24" customFormat="false" ht="26.85" hidden="false" customHeight="false" outlineLevel="0" collapsed="false">
      <c r="A24" s="7" t="s">
        <v>147</v>
      </c>
      <c r="B24" s="7" t="s">
        <v>148</v>
      </c>
      <c r="C24" s="7" t="s">
        <v>150</v>
      </c>
      <c r="D24" s="49" t="n">
        <v>48</v>
      </c>
      <c r="E24" s="50" t="n">
        <v>0.2</v>
      </c>
    </row>
    <row r="25" customFormat="false" ht="26.85" hidden="false" customHeight="false" outlineLevel="0" collapsed="false">
      <c r="A25" s="11" t="s">
        <v>147</v>
      </c>
      <c r="B25" s="11" t="s">
        <v>148</v>
      </c>
      <c r="C25" s="11" t="s">
        <v>152</v>
      </c>
      <c r="D25" s="51" t="n">
        <v>12</v>
      </c>
      <c r="E25" s="52" t="n">
        <v>0.05</v>
      </c>
    </row>
    <row r="26" customFormat="false" ht="15" hidden="false" customHeight="false" outlineLevel="0" collapsed="false">
      <c r="A26" s="7" t="s">
        <v>153</v>
      </c>
      <c r="B26" s="7" t="s">
        <v>154</v>
      </c>
      <c r="C26" s="53" t="s">
        <v>155</v>
      </c>
      <c r="D26" s="49" t="n">
        <v>1162</v>
      </c>
      <c r="E26" s="54" t="n">
        <v>0.67</v>
      </c>
    </row>
    <row r="27" customFormat="false" ht="15" hidden="false" customHeight="false" outlineLevel="0" collapsed="false">
      <c r="A27" s="11" t="s">
        <v>153</v>
      </c>
      <c r="B27" s="11" t="s">
        <v>154</v>
      </c>
      <c r="C27" s="11" t="s">
        <v>156</v>
      </c>
      <c r="D27" s="51" t="n">
        <v>505</v>
      </c>
      <c r="E27" s="52" t="n">
        <v>0.29</v>
      </c>
    </row>
    <row r="28" customFormat="false" ht="15" hidden="false" customHeight="false" outlineLevel="0" collapsed="false">
      <c r="A28" s="7" t="s">
        <v>153</v>
      </c>
      <c r="B28" s="7" t="s">
        <v>154</v>
      </c>
      <c r="C28" s="7" t="s">
        <v>157</v>
      </c>
      <c r="D28" s="49" t="n">
        <v>52</v>
      </c>
      <c r="E28" s="50" t="n">
        <v>0.03</v>
      </c>
    </row>
    <row r="29" customFormat="false" ht="15" hidden="false" customHeight="false" outlineLevel="0" collapsed="false">
      <c r="A29" s="11" t="s">
        <v>158</v>
      </c>
      <c r="B29" s="11" t="s">
        <v>159</v>
      </c>
      <c r="C29" s="55" t="s">
        <v>160</v>
      </c>
      <c r="D29" s="51" t="n">
        <v>1334</v>
      </c>
      <c r="E29" s="56" t="n">
        <v>0.77</v>
      </c>
    </row>
    <row r="30" customFormat="false" ht="15" hidden="false" customHeight="false" outlineLevel="0" collapsed="false">
      <c r="A30" s="7" t="s">
        <v>158</v>
      </c>
      <c r="B30" s="7" t="s">
        <v>159</v>
      </c>
      <c r="C30" s="7" t="s">
        <v>156</v>
      </c>
      <c r="D30" s="49" t="n">
        <v>357</v>
      </c>
      <c r="E30" s="50" t="n">
        <v>0.2</v>
      </c>
    </row>
    <row r="31" customFormat="false" ht="15" hidden="false" customHeight="false" outlineLevel="0" collapsed="false">
      <c r="A31" s="11" t="s">
        <v>158</v>
      </c>
      <c r="B31" s="11" t="s">
        <v>159</v>
      </c>
      <c r="C31" s="11" t="s">
        <v>161</v>
      </c>
      <c r="D31" s="51" t="n">
        <v>28</v>
      </c>
      <c r="E31" s="52" t="n">
        <v>0.01</v>
      </c>
    </row>
    <row r="32" customFormat="false" ht="15" hidden="false" customHeight="false" outlineLevel="0" collapsed="false">
      <c r="A32" s="7" t="s">
        <v>162</v>
      </c>
      <c r="B32" s="7" t="s">
        <v>163</v>
      </c>
      <c r="C32" s="53" t="s">
        <v>164</v>
      </c>
      <c r="D32" s="49" t="n">
        <v>128</v>
      </c>
      <c r="E32" s="54" t="n">
        <v>0.54</v>
      </c>
    </row>
    <row r="33" customFormat="false" ht="15" hidden="false" customHeight="false" outlineLevel="0" collapsed="false">
      <c r="A33" s="11" t="s">
        <v>162</v>
      </c>
      <c r="B33" s="11" t="s">
        <v>163</v>
      </c>
      <c r="C33" s="11" t="s">
        <v>165</v>
      </c>
      <c r="D33" s="51" t="n">
        <v>108</v>
      </c>
      <c r="E33" s="52" t="n">
        <v>0.45</v>
      </c>
    </row>
    <row r="34" customFormat="false" ht="15" hidden="false" customHeight="false" outlineLevel="0" collapsed="false">
      <c r="A34" s="7" t="s">
        <v>162</v>
      </c>
      <c r="B34" s="7" t="s">
        <v>163</v>
      </c>
      <c r="C34" s="7" t="s">
        <v>166</v>
      </c>
      <c r="D34" s="49" t="n">
        <v>0</v>
      </c>
      <c r="E34" s="50" t="n">
        <v>0</v>
      </c>
    </row>
    <row r="37" customFormat="false" ht="19.4" hidden="false" customHeight="false" outlineLevel="0" collapsed="false">
      <c r="A37" s="46" t="s">
        <v>167</v>
      </c>
      <c r="B37" s="46"/>
      <c r="C37" s="46"/>
      <c r="D37" s="46"/>
      <c r="E37" s="46"/>
      <c r="F37" s="46"/>
    </row>
    <row r="38" customFormat="false" ht="17.15" hidden="false" customHeight="false" outlineLevel="0" collapsed="false">
      <c r="A38" s="5" t="s">
        <v>168</v>
      </c>
      <c r="B38" s="5" t="s">
        <v>169</v>
      </c>
      <c r="C38" s="5" t="s">
        <v>170</v>
      </c>
      <c r="D38" s="5" t="s">
        <v>171</v>
      </c>
      <c r="E38" s="5" t="s">
        <v>172</v>
      </c>
    </row>
    <row r="39" customFormat="false" ht="15" hidden="false" customHeight="false" outlineLevel="0" collapsed="false">
      <c r="A39" s="55" t="s">
        <v>46</v>
      </c>
      <c r="B39" s="58" t="s">
        <v>174</v>
      </c>
      <c r="C39" s="51" t="n">
        <v>160</v>
      </c>
      <c r="D39" s="57" t="n">
        <v>80.5</v>
      </c>
      <c r="E39" s="57" t="n">
        <v>29.4</v>
      </c>
    </row>
    <row r="40" customFormat="false" ht="15" hidden="false" customHeight="false" outlineLevel="0" collapsed="false">
      <c r="A40" s="55" t="s">
        <v>48</v>
      </c>
      <c r="B40" s="58" t="s">
        <v>174</v>
      </c>
      <c r="C40" s="51" t="n">
        <v>64</v>
      </c>
      <c r="D40" s="57" t="n">
        <v>32.2</v>
      </c>
      <c r="E40" s="57" t="n">
        <v>11.8</v>
      </c>
    </row>
    <row r="41" customFormat="false" ht="15" hidden="false" customHeight="false" outlineLevel="0" collapsed="false">
      <c r="A41" s="55" t="s">
        <v>91</v>
      </c>
      <c r="B41" s="11" t="s">
        <v>173</v>
      </c>
      <c r="C41" s="51" t="n">
        <v>32</v>
      </c>
      <c r="D41" s="57" t="n">
        <v>16.1</v>
      </c>
      <c r="E41" s="57" t="n">
        <v>11.8</v>
      </c>
    </row>
    <row r="42" customFormat="false" ht="15" hidden="false" customHeight="false" outlineLevel="0" collapsed="false">
      <c r="A42" s="55" t="s">
        <v>225</v>
      </c>
      <c r="B42" s="11" t="s">
        <v>173</v>
      </c>
      <c r="C42" s="51" t="n">
        <v>26</v>
      </c>
      <c r="D42" s="57" t="n">
        <v>13.1</v>
      </c>
      <c r="E42" s="57" t="n">
        <v>5.9</v>
      </c>
    </row>
    <row r="43" customFormat="false" ht="15" hidden="false" customHeight="false" outlineLevel="0" collapsed="false">
      <c r="A43" s="55" t="s">
        <v>196</v>
      </c>
      <c r="B43" s="15" t="s">
        <v>176</v>
      </c>
      <c r="C43" s="51" t="n">
        <v>25</v>
      </c>
      <c r="D43" s="57" t="n">
        <v>12.6</v>
      </c>
      <c r="E43" s="57" t="n">
        <v>5.9</v>
      </c>
    </row>
    <row r="44" customFormat="false" ht="15" hidden="false" customHeight="false" outlineLevel="0" collapsed="false">
      <c r="A44" s="55" t="s">
        <v>94</v>
      </c>
      <c r="B44" s="11" t="s">
        <v>173</v>
      </c>
      <c r="C44" s="51" t="n">
        <v>23</v>
      </c>
      <c r="D44" s="57" t="n">
        <v>11.6</v>
      </c>
      <c r="E44" s="57" t="n">
        <v>5.9</v>
      </c>
    </row>
    <row r="45" customFormat="false" ht="15" hidden="false" customHeight="false" outlineLevel="0" collapsed="false">
      <c r="A45" s="55" t="s">
        <v>58</v>
      </c>
      <c r="B45" s="58" t="s">
        <v>174</v>
      </c>
      <c r="C45" s="51" t="n">
        <v>20</v>
      </c>
      <c r="D45" s="57" t="n">
        <v>10.1</v>
      </c>
      <c r="E45" s="57" t="n">
        <v>0</v>
      </c>
    </row>
    <row r="46" customFormat="false" ht="15" hidden="false" customHeight="false" outlineLevel="0" collapsed="false">
      <c r="A46" s="55" t="s">
        <v>220</v>
      </c>
      <c r="B46" s="11" t="s">
        <v>173</v>
      </c>
      <c r="C46" s="51" t="n">
        <v>18</v>
      </c>
      <c r="D46" s="57" t="n">
        <v>9.1</v>
      </c>
      <c r="E46" s="57" t="n">
        <v>0</v>
      </c>
    </row>
    <row r="47" customFormat="false" ht="15" hidden="false" customHeight="false" outlineLevel="0" collapsed="false">
      <c r="A47" s="55" t="s">
        <v>92</v>
      </c>
      <c r="B47" s="11" t="s">
        <v>173</v>
      </c>
      <c r="C47" s="51" t="n">
        <v>16</v>
      </c>
      <c r="D47" s="57" t="n">
        <v>8</v>
      </c>
      <c r="E47" s="57" t="n">
        <v>0</v>
      </c>
    </row>
    <row r="48" customFormat="false" ht="15" hidden="false" customHeight="false" outlineLevel="0" collapsed="false">
      <c r="A48" s="55" t="s">
        <v>93</v>
      </c>
      <c r="B48" s="11" t="s">
        <v>173</v>
      </c>
      <c r="C48" s="51" t="n">
        <v>15</v>
      </c>
      <c r="D48" s="57" t="n">
        <v>7.5</v>
      </c>
      <c r="E48" s="57" t="n">
        <v>0</v>
      </c>
    </row>
    <row r="49" customFormat="false" ht="15" hidden="false" customHeight="false" outlineLevel="0" collapsed="false">
      <c r="A49" s="55" t="s">
        <v>226</v>
      </c>
      <c r="B49" s="11" t="s">
        <v>173</v>
      </c>
      <c r="C49" s="51" t="n">
        <v>14</v>
      </c>
      <c r="D49" s="57" t="n">
        <v>7</v>
      </c>
      <c r="E49" s="57" t="n">
        <v>0</v>
      </c>
    </row>
    <row r="50" customFormat="false" ht="15" hidden="false" customHeight="false" outlineLevel="0" collapsed="false">
      <c r="A50" s="55" t="s">
        <v>175</v>
      </c>
      <c r="B50" s="15" t="s">
        <v>176</v>
      </c>
      <c r="C50" s="51" t="n">
        <v>14</v>
      </c>
      <c r="D50" s="57" t="n">
        <v>7</v>
      </c>
      <c r="E50" s="57" t="n">
        <v>0</v>
      </c>
    </row>
    <row r="51" customFormat="false" ht="15" hidden="false" customHeight="false" outlineLevel="0" collapsed="false">
      <c r="A51" s="55" t="s">
        <v>227</v>
      </c>
      <c r="B51" s="11" t="s">
        <v>173</v>
      </c>
      <c r="C51" s="51" t="n">
        <v>14</v>
      </c>
      <c r="D51" s="57" t="n">
        <v>7</v>
      </c>
      <c r="E51" s="57" t="n">
        <v>0</v>
      </c>
    </row>
    <row r="52" customFormat="false" ht="15" hidden="false" customHeight="false" outlineLevel="0" collapsed="false">
      <c r="A52" s="55" t="s">
        <v>228</v>
      </c>
      <c r="B52" s="11" t="s">
        <v>173</v>
      </c>
      <c r="C52" s="51" t="n">
        <v>13</v>
      </c>
      <c r="D52" s="57" t="n">
        <v>6.5</v>
      </c>
      <c r="E52" s="57" t="n">
        <v>0</v>
      </c>
    </row>
    <row r="53" customFormat="false" ht="15" hidden="false" customHeight="false" outlineLevel="0" collapsed="false">
      <c r="A53" s="55" t="s">
        <v>229</v>
      </c>
      <c r="B53" s="11" t="s">
        <v>173</v>
      </c>
      <c r="C53" s="51" t="n">
        <v>12</v>
      </c>
      <c r="D53" s="57" t="n">
        <v>6</v>
      </c>
      <c r="E53" s="57" t="n">
        <v>0</v>
      </c>
    </row>
    <row r="56" customFormat="false" ht="15" hidden="false" customHeight="false" outlineLevel="0" collapsed="false">
      <c r="A56" s="46" t="s">
        <v>182</v>
      </c>
      <c r="B56" s="46"/>
      <c r="C56" s="46"/>
      <c r="D56" s="46"/>
      <c r="E56" s="46"/>
      <c r="F56" s="46"/>
    </row>
    <row r="57" customFormat="false" ht="17.15" hidden="false" customHeight="false" outlineLevel="0" collapsed="false">
      <c r="A57" s="5" t="s">
        <v>183</v>
      </c>
      <c r="B57" s="5" t="s">
        <v>184</v>
      </c>
      <c r="C57" s="5" t="s">
        <v>185</v>
      </c>
    </row>
    <row r="58" customFormat="false" ht="15" hidden="false" customHeight="false" outlineLevel="0" collapsed="false">
      <c r="A58" s="11" t="s">
        <v>52</v>
      </c>
      <c r="B58" s="51" t="n">
        <v>23</v>
      </c>
      <c r="C58" s="59" t="n">
        <f aca="false">B58/625</f>
        <v>0.0368</v>
      </c>
    </row>
    <row r="59" customFormat="false" ht="15" hidden="false" customHeight="false" outlineLevel="0" collapsed="false">
      <c r="A59" s="11" t="s">
        <v>97</v>
      </c>
      <c r="B59" s="51" t="n">
        <v>6</v>
      </c>
      <c r="C59" s="59" t="n">
        <f aca="false">B59/625</f>
        <v>0.0096</v>
      </c>
    </row>
    <row r="60" customFormat="false" ht="15" hidden="false" customHeight="false" outlineLevel="0" collapsed="false">
      <c r="A60" s="11" t="s">
        <v>96</v>
      </c>
      <c r="B60" s="51" t="n">
        <v>6</v>
      </c>
      <c r="C60" s="59" t="n">
        <f aca="false">B60/625</f>
        <v>0.0096</v>
      </c>
    </row>
    <row r="61" customFormat="false" ht="15" hidden="false" customHeight="false" outlineLevel="0" collapsed="false">
      <c r="A61" s="11" t="s">
        <v>100</v>
      </c>
      <c r="B61" s="51" t="n">
        <v>2</v>
      </c>
      <c r="C61" s="59" t="n">
        <f aca="false">B61/625</f>
        <v>0.0032</v>
      </c>
    </row>
    <row r="62" customFormat="false" ht="15" hidden="false" customHeight="false" outlineLevel="0" collapsed="false">
      <c r="A62" s="11" t="s">
        <v>99</v>
      </c>
      <c r="B62" s="51" t="n">
        <v>2</v>
      </c>
      <c r="C62" s="59" t="n">
        <f aca="false">B62/625</f>
        <v>0.0032</v>
      </c>
    </row>
    <row r="65" customFormat="false" ht="19.4" hidden="false" customHeight="false" outlineLevel="0" collapsed="false">
      <c r="A65" s="46" t="s">
        <v>186</v>
      </c>
      <c r="B65" s="46"/>
      <c r="C65" s="46"/>
      <c r="D65" s="46"/>
      <c r="E65" s="46"/>
      <c r="F65" s="46"/>
    </row>
    <row r="66" customFormat="false" ht="17.15" hidden="false" customHeight="false" outlineLevel="0" collapsed="false">
      <c r="A66" s="5" t="s">
        <v>187</v>
      </c>
      <c r="B66" s="5" t="s">
        <v>184</v>
      </c>
      <c r="C66" s="5" t="s">
        <v>185</v>
      </c>
    </row>
    <row r="67" customFormat="false" ht="15" hidden="false" customHeight="false" outlineLevel="0" collapsed="false">
      <c r="A67" s="11" t="s">
        <v>75</v>
      </c>
      <c r="B67" s="51" t="n">
        <v>28</v>
      </c>
      <c r="C67" s="59" t="n">
        <f aca="false">B67/625</f>
        <v>0.0448</v>
      </c>
    </row>
    <row r="68" customFormat="false" ht="15" hidden="false" customHeight="false" outlineLevel="0" collapsed="false">
      <c r="A68" s="11" t="s">
        <v>76</v>
      </c>
      <c r="B68" s="51" t="n">
        <v>21</v>
      </c>
      <c r="C68" s="59" t="n">
        <f aca="false">B68/625</f>
        <v>0.0336</v>
      </c>
    </row>
    <row r="69" customFormat="false" ht="15" hidden="false" customHeight="false" outlineLevel="0" collapsed="false">
      <c r="A69" s="11" t="s">
        <v>77</v>
      </c>
      <c r="B69" s="51" t="n">
        <v>11</v>
      </c>
      <c r="C69" s="59" t="n">
        <f aca="false">B69/625</f>
        <v>0.0176</v>
      </c>
    </row>
    <row r="70" customFormat="false" ht="15" hidden="false" customHeight="false" outlineLevel="0" collapsed="false">
      <c r="A70" s="11" t="s">
        <v>79</v>
      </c>
      <c r="B70" s="51" t="n">
        <v>6</v>
      </c>
      <c r="C70" s="59" t="n">
        <f aca="false">B70/625</f>
        <v>0.0096</v>
      </c>
    </row>
    <row r="71" customFormat="false" ht="15" hidden="false" customHeight="false" outlineLevel="0" collapsed="false">
      <c r="A71" s="11" t="s">
        <v>80</v>
      </c>
      <c r="B71" s="51" t="n">
        <v>5</v>
      </c>
      <c r="C71" s="59" t="n">
        <f aca="false">B71/625</f>
        <v>0.008</v>
      </c>
    </row>
    <row r="72" customFormat="false" ht="15" hidden="false" customHeight="false" outlineLevel="0" collapsed="false">
      <c r="A72" s="11" t="s">
        <v>85</v>
      </c>
      <c r="B72" s="51" t="n">
        <v>4</v>
      </c>
      <c r="C72" s="59" t="n">
        <f aca="false">B72/625</f>
        <v>0.0064</v>
      </c>
    </row>
    <row r="73" customFormat="false" ht="15" hidden="false" customHeight="false" outlineLevel="0" collapsed="false">
      <c r="A73" s="11" t="s">
        <v>78</v>
      </c>
      <c r="B73" s="51" t="n">
        <v>4</v>
      </c>
      <c r="C73" s="59" t="n">
        <f aca="false">B73/625</f>
        <v>0.0064</v>
      </c>
    </row>
    <row r="74" customFormat="false" ht="15" hidden="false" customHeight="false" outlineLevel="0" collapsed="false">
      <c r="A74" s="11" t="s">
        <v>84</v>
      </c>
      <c r="B74" s="51" t="n">
        <v>4</v>
      </c>
      <c r="C74" s="59" t="n">
        <f aca="false">B74/625</f>
        <v>0.0064</v>
      </c>
    </row>
    <row r="75" customFormat="false" ht="15" hidden="false" customHeight="false" outlineLevel="0" collapsed="false">
      <c r="A75" s="11" t="s">
        <v>83</v>
      </c>
      <c r="B75" s="51" t="n">
        <v>3</v>
      </c>
      <c r="C75" s="59" t="n">
        <f aca="false">B75/625</f>
        <v>0.0048</v>
      </c>
    </row>
    <row r="76" customFormat="false" ht="15" hidden="false" customHeight="false" outlineLevel="0" collapsed="false">
      <c r="A76" s="11" t="s">
        <v>81</v>
      </c>
      <c r="B76" s="51" t="n">
        <v>3</v>
      </c>
      <c r="C76" s="59" t="n">
        <f aca="false">B76/625</f>
        <v>0.0048</v>
      </c>
    </row>
    <row r="77" customFormat="false" ht="15" hidden="false" customHeight="false" outlineLevel="0" collapsed="false">
      <c r="A77" s="11" t="s">
        <v>82</v>
      </c>
      <c r="B77" s="51" t="n">
        <v>3</v>
      </c>
      <c r="C77" s="59" t="n">
        <f aca="false">B77/625</f>
        <v>0.0048</v>
      </c>
    </row>
    <row r="78" customFormat="false" ht="15" hidden="false" customHeight="false" outlineLevel="0" collapsed="false">
      <c r="A78" s="11" t="s">
        <v>86</v>
      </c>
      <c r="B78" s="51" t="n">
        <v>1</v>
      </c>
      <c r="C78" s="59" t="n">
        <f aca="false">B78/625</f>
        <v>0.0016</v>
      </c>
    </row>
    <row r="81" customFormat="false" ht="19.4" hidden="false" customHeight="false" outlineLevel="0" collapsed="false">
      <c r="A81" s="46" t="s">
        <v>188</v>
      </c>
      <c r="B81" s="46"/>
      <c r="C81" s="46"/>
      <c r="D81" s="46"/>
      <c r="E81" s="46"/>
      <c r="F81" s="46"/>
    </row>
    <row r="82" customFormat="false" ht="42" hidden="false" customHeight="true" outlineLevel="0" collapsed="false">
      <c r="A82" s="60" t="s">
        <v>189</v>
      </c>
      <c r="B82" s="61" t="s">
        <v>230</v>
      </c>
      <c r="C82" s="61"/>
      <c r="D82" s="61"/>
      <c r="E82" s="61"/>
      <c r="F82" s="61"/>
    </row>
    <row r="83" customFormat="false" ht="42" hidden="false" customHeight="true" outlineLevel="0" collapsed="false">
      <c r="A83" s="60" t="s">
        <v>189</v>
      </c>
      <c r="B83" s="62" t="s">
        <v>231</v>
      </c>
      <c r="C83" s="62"/>
      <c r="D83" s="62"/>
      <c r="E83" s="62"/>
      <c r="F83" s="62"/>
    </row>
    <row r="84" customFormat="false" ht="42" hidden="false" customHeight="true" outlineLevel="0" collapsed="false">
      <c r="A84" s="60" t="s">
        <v>189</v>
      </c>
      <c r="B84" s="61" t="s">
        <v>232</v>
      </c>
      <c r="C84" s="61"/>
      <c r="D84" s="61"/>
      <c r="E84" s="61"/>
      <c r="F84" s="61"/>
    </row>
    <row r="85" customFormat="false" ht="42" hidden="false" customHeight="true" outlineLevel="0" collapsed="false">
      <c r="A85" s="60" t="s">
        <v>189</v>
      </c>
      <c r="B85" s="61" t="s">
        <v>233</v>
      </c>
      <c r="C85" s="61"/>
      <c r="D85" s="61"/>
      <c r="E85" s="61"/>
      <c r="F85" s="61"/>
    </row>
    <row r="86" customFormat="false" ht="42" hidden="false" customHeight="true" outlineLevel="0" collapsed="false">
      <c r="A86" s="60" t="s">
        <v>189</v>
      </c>
      <c r="B86" s="61" t="s">
        <v>234</v>
      </c>
      <c r="C86" s="61"/>
      <c r="D86" s="61"/>
      <c r="E86" s="61"/>
      <c r="F86" s="61"/>
    </row>
  </sheetData>
  <mergeCells count="13">
    <mergeCell ref="A1:F1"/>
    <mergeCell ref="A2:F2"/>
    <mergeCell ref="A4:F4"/>
    <mergeCell ref="A20:F20"/>
    <mergeCell ref="A37:F37"/>
    <mergeCell ref="A56:F56"/>
    <mergeCell ref="A65:F65"/>
    <mergeCell ref="A81:F81"/>
    <mergeCell ref="B82:F82"/>
    <mergeCell ref="B83:F83"/>
    <mergeCell ref="B84:F84"/>
    <mergeCell ref="B85:F85"/>
    <mergeCell ref="B86:F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35" t="s">
        <v>235</v>
      </c>
      <c r="B1" s="35"/>
      <c r="C1" s="35"/>
      <c r="D1" s="35"/>
      <c r="E1" s="35"/>
      <c r="F1" s="35"/>
    </row>
    <row r="2" customFormat="false" ht="15" hidden="false" customHeight="false" outlineLevel="0" collapsed="false">
      <c r="A2" s="2" t="s">
        <v>236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46" t="s">
        <v>137</v>
      </c>
      <c r="B4" s="46"/>
      <c r="C4" s="46"/>
      <c r="D4" s="46"/>
      <c r="E4" s="46"/>
      <c r="F4" s="46"/>
    </row>
    <row r="5" customFormat="false" ht="30.55" hidden="false" customHeight="false" outlineLevel="0" collapsed="false">
      <c r="A5" s="4" t="s">
        <v>138</v>
      </c>
      <c r="B5" s="5" t="s">
        <v>139</v>
      </c>
      <c r="D5" s="4" t="s">
        <v>140</v>
      </c>
      <c r="E5" s="5" t="s">
        <v>139</v>
      </c>
    </row>
    <row r="6" customFormat="false" ht="15" hidden="false" customHeight="false" outlineLevel="0" collapsed="false">
      <c r="A6" s="39" t="s">
        <v>46</v>
      </c>
      <c r="B6" s="47" t="n">
        <v>127</v>
      </c>
      <c r="D6" s="41" t="s">
        <v>62</v>
      </c>
      <c r="E6" s="48" t="n">
        <v>32</v>
      </c>
    </row>
    <row r="7" customFormat="false" ht="15" hidden="false" customHeight="false" outlineLevel="0" collapsed="false">
      <c r="A7" s="39" t="s">
        <v>48</v>
      </c>
      <c r="B7" s="47" t="n">
        <v>76</v>
      </c>
      <c r="D7" s="41" t="s">
        <v>63</v>
      </c>
      <c r="E7" s="48" t="n">
        <v>31</v>
      </c>
    </row>
    <row r="8" customFormat="false" ht="15" hidden="false" customHeight="false" outlineLevel="0" collapsed="false">
      <c r="A8" s="39" t="s">
        <v>52</v>
      </c>
      <c r="B8" s="47" t="n">
        <v>58</v>
      </c>
      <c r="D8" s="41" t="s">
        <v>67</v>
      </c>
      <c r="E8" s="48" t="n">
        <v>4</v>
      </c>
    </row>
    <row r="9" customFormat="false" ht="15" hidden="false" customHeight="false" outlineLevel="0" collapsed="false">
      <c r="A9" s="39" t="s">
        <v>47</v>
      </c>
      <c r="B9" s="47" t="n">
        <v>41</v>
      </c>
      <c r="D9" s="41" t="s">
        <v>69</v>
      </c>
      <c r="E9" s="48" t="n">
        <v>3</v>
      </c>
    </row>
    <row r="10" customFormat="false" ht="15" hidden="false" customHeight="false" outlineLevel="0" collapsed="false">
      <c r="A10" s="39" t="s">
        <v>51</v>
      </c>
      <c r="B10" s="47" t="n">
        <v>38</v>
      </c>
      <c r="D10" s="41" t="s">
        <v>115</v>
      </c>
      <c r="E10" s="48" t="n">
        <v>2</v>
      </c>
    </row>
    <row r="11" customFormat="false" ht="15" hidden="false" customHeight="false" outlineLevel="0" collapsed="false">
      <c r="A11" s="39" t="s">
        <v>50</v>
      </c>
      <c r="B11" s="47" t="n">
        <v>30</v>
      </c>
    </row>
    <row r="12" customFormat="false" ht="15" hidden="false" customHeight="false" outlineLevel="0" collapsed="false">
      <c r="A12" s="39" t="s">
        <v>49</v>
      </c>
      <c r="B12" s="47" t="n">
        <v>20</v>
      </c>
    </row>
    <row r="13" customFormat="false" ht="15" hidden="false" customHeight="false" outlineLevel="0" collapsed="false">
      <c r="A13" s="39" t="s">
        <v>54</v>
      </c>
      <c r="B13" s="47" t="n">
        <v>18</v>
      </c>
    </row>
    <row r="14" customFormat="false" ht="15" hidden="false" customHeight="false" outlineLevel="0" collapsed="false">
      <c r="A14" s="39" t="s">
        <v>59</v>
      </c>
      <c r="B14" s="47" t="n">
        <v>12</v>
      </c>
    </row>
    <row r="15" customFormat="false" ht="15" hidden="false" customHeight="false" outlineLevel="0" collapsed="false">
      <c r="A15" s="39" t="s">
        <v>56</v>
      </c>
      <c r="B15" s="47" t="n">
        <v>10</v>
      </c>
    </row>
    <row r="16" customFormat="false" ht="15" hidden="false" customHeight="false" outlineLevel="0" collapsed="false">
      <c r="A16" s="39" t="s">
        <v>53</v>
      </c>
      <c r="B16" s="47" t="n">
        <v>10</v>
      </c>
    </row>
    <row r="17" customFormat="false" ht="15" hidden="false" customHeight="false" outlineLevel="0" collapsed="false">
      <c r="A17" s="39" t="s">
        <v>152</v>
      </c>
      <c r="B17" s="47" t="n">
        <v>8</v>
      </c>
    </row>
    <row r="20" customFormat="false" ht="15" hidden="false" customHeight="false" outlineLevel="0" collapsed="false">
      <c r="A20" s="46" t="s">
        <v>141</v>
      </c>
      <c r="B20" s="46"/>
      <c r="C20" s="46"/>
      <c r="D20" s="46"/>
      <c r="E20" s="46"/>
      <c r="F20" s="46"/>
    </row>
    <row r="21" customFormat="false" ht="17.15" hidden="false" customHeight="false" outlineLevel="0" collapsed="false">
      <c r="A21" s="5" t="s">
        <v>142</v>
      </c>
      <c r="B21" s="5" t="s">
        <v>143</v>
      </c>
      <c r="C21" s="5" t="s">
        <v>144</v>
      </c>
      <c r="D21" s="5" t="s">
        <v>145</v>
      </c>
      <c r="E21" s="5" t="s">
        <v>146</v>
      </c>
    </row>
    <row r="22" customFormat="false" ht="26.85" hidden="false" customHeight="false" outlineLevel="0" collapsed="false">
      <c r="A22" s="7" t="s">
        <v>147</v>
      </c>
      <c r="B22" s="7" t="s">
        <v>148</v>
      </c>
      <c r="C22" s="7" t="s">
        <v>149</v>
      </c>
      <c r="D22" s="49" t="n">
        <v>112</v>
      </c>
      <c r="E22" s="50" t="n">
        <v>0.31</v>
      </c>
    </row>
    <row r="23" customFormat="false" ht="26.85" hidden="false" customHeight="false" outlineLevel="0" collapsed="false">
      <c r="A23" s="11" t="s">
        <v>147</v>
      </c>
      <c r="B23" s="11" t="s">
        <v>148</v>
      </c>
      <c r="C23" s="11" t="s">
        <v>150</v>
      </c>
      <c r="D23" s="51" t="n">
        <v>112</v>
      </c>
      <c r="E23" s="52" t="n">
        <v>0.31</v>
      </c>
    </row>
    <row r="24" customFormat="false" ht="26.85" hidden="false" customHeight="false" outlineLevel="0" collapsed="false">
      <c r="A24" s="7" t="s">
        <v>147</v>
      </c>
      <c r="B24" s="7" t="s">
        <v>148</v>
      </c>
      <c r="C24" s="7" t="s">
        <v>151</v>
      </c>
      <c r="D24" s="49" t="n">
        <v>80</v>
      </c>
      <c r="E24" s="50" t="n">
        <v>0.22</v>
      </c>
    </row>
    <row r="25" customFormat="false" ht="26.85" hidden="false" customHeight="false" outlineLevel="0" collapsed="false">
      <c r="A25" s="11" t="s">
        <v>147</v>
      </c>
      <c r="B25" s="11" t="s">
        <v>148</v>
      </c>
      <c r="C25" s="11" t="s">
        <v>152</v>
      </c>
      <c r="D25" s="51" t="n">
        <v>52</v>
      </c>
      <c r="E25" s="52" t="n">
        <v>0.14</v>
      </c>
    </row>
    <row r="26" customFormat="false" ht="15" hidden="false" customHeight="false" outlineLevel="0" collapsed="false">
      <c r="A26" s="7" t="s">
        <v>153</v>
      </c>
      <c r="B26" s="7" t="s">
        <v>154</v>
      </c>
      <c r="C26" s="53" t="s">
        <v>155</v>
      </c>
      <c r="D26" s="49" t="n">
        <v>742</v>
      </c>
      <c r="E26" s="54" t="n">
        <v>0.64</v>
      </c>
    </row>
    <row r="27" customFormat="false" ht="15" hidden="false" customHeight="false" outlineLevel="0" collapsed="false">
      <c r="A27" s="11" t="s">
        <v>153</v>
      </c>
      <c r="B27" s="11" t="s">
        <v>154</v>
      </c>
      <c r="C27" s="11" t="s">
        <v>156</v>
      </c>
      <c r="D27" s="51" t="n">
        <v>339</v>
      </c>
      <c r="E27" s="52" t="n">
        <v>0.29</v>
      </c>
    </row>
    <row r="28" customFormat="false" ht="15" hidden="false" customHeight="false" outlineLevel="0" collapsed="false">
      <c r="A28" s="7" t="s">
        <v>153</v>
      </c>
      <c r="B28" s="7" t="s">
        <v>154</v>
      </c>
      <c r="C28" s="7" t="s">
        <v>157</v>
      </c>
      <c r="D28" s="49" t="n">
        <v>61</v>
      </c>
      <c r="E28" s="50" t="n">
        <v>0.05</v>
      </c>
    </row>
    <row r="29" customFormat="false" ht="15" hidden="false" customHeight="false" outlineLevel="0" collapsed="false">
      <c r="A29" s="11" t="s">
        <v>158</v>
      </c>
      <c r="B29" s="11" t="s">
        <v>159</v>
      </c>
      <c r="C29" s="55" t="s">
        <v>160</v>
      </c>
      <c r="D29" s="51" t="n">
        <v>835</v>
      </c>
      <c r="E29" s="56" t="n">
        <v>0.73</v>
      </c>
    </row>
    <row r="30" customFormat="false" ht="15" hidden="false" customHeight="false" outlineLevel="0" collapsed="false">
      <c r="A30" s="7" t="s">
        <v>158</v>
      </c>
      <c r="B30" s="7" t="s">
        <v>159</v>
      </c>
      <c r="C30" s="7" t="s">
        <v>156</v>
      </c>
      <c r="D30" s="49" t="n">
        <v>300</v>
      </c>
      <c r="E30" s="50" t="n">
        <v>0.26</v>
      </c>
    </row>
    <row r="31" customFormat="false" ht="15" hidden="false" customHeight="false" outlineLevel="0" collapsed="false">
      <c r="A31" s="11" t="s">
        <v>158</v>
      </c>
      <c r="B31" s="11" t="s">
        <v>159</v>
      </c>
      <c r="C31" s="11" t="s">
        <v>161</v>
      </c>
      <c r="D31" s="51" t="n">
        <v>7</v>
      </c>
      <c r="E31" s="52" t="n">
        <v>0</v>
      </c>
    </row>
    <row r="32" customFormat="false" ht="15" hidden="false" customHeight="false" outlineLevel="0" collapsed="false">
      <c r="A32" s="7" t="s">
        <v>162</v>
      </c>
      <c r="B32" s="7" t="s">
        <v>163</v>
      </c>
      <c r="C32" s="7" t="s">
        <v>165</v>
      </c>
      <c r="D32" s="49" t="n">
        <v>172</v>
      </c>
      <c r="E32" s="50" t="n">
        <v>0.48</v>
      </c>
    </row>
    <row r="33" customFormat="false" ht="15" hidden="false" customHeight="false" outlineLevel="0" collapsed="false">
      <c r="A33" s="11" t="s">
        <v>162</v>
      </c>
      <c r="B33" s="11" t="s">
        <v>163</v>
      </c>
      <c r="C33" s="11" t="s">
        <v>164</v>
      </c>
      <c r="D33" s="51" t="n">
        <v>168</v>
      </c>
      <c r="E33" s="52" t="n">
        <v>0.47</v>
      </c>
    </row>
    <row r="34" customFormat="false" ht="15" hidden="false" customHeight="false" outlineLevel="0" collapsed="false">
      <c r="A34" s="7" t="s">
        <v>162</v>
      </c>
      <c r="B34" s="7" t="s">
        <v>163</v>
      </c>
      <c r="C34" s="7" t="s">
        <v>166</v>
      </c>
      <c r="D34" s="49" t="n">
        <v>16</v>
      </c>
      <c r="E34" s="50" t="n">
        <v>0.04</v>
      </c>
    </row>
    <row r="37" customFormat="false" ht="19.4" hidden="false" customHeight="false" outlineLevel="0" collapsed="false">
      <c r="A37" s="46" t="s">
        <v>167</v>
      </c>
      <c r="B37" s="46"/>
      <c r="C37" s="46"/>
      <c r="D37" s="46"/>
      <c r="E37" s="46"/>
      <c r="F37" s="46"/>
    </row>
    <row r="38" customFormat="false" ht="17.15" hidden="false" customHeight="false" outlineLevel="0" collapsed="false">
      <c r="A38" s="5" t="s">
        <v>168</v>
      </c>
      <c r="B38" s="5" t="s">
        <v>169</v>
      </c>
      <c r="C38" s="5" t="s">
        <v>170</v>
      </c>
      <c r="D38" s="5" t="s">
        <v>171</v>
      </c>
      <c r="E38" s="5" t="s">
        <v>172</v>
      </c>
    </row>
    <row r="39" customFormat="false" ht="15" hidden="false" customHeight="false" outlineLevel="0" collapsed="false">
      <c r="A39" s="55" t="s">
        <v>46</v>
      </c>
      <c r="B39" s="58" t="s">
        <v>174</v>
      </c>
      <c r="C39" s="51" t="n">
        <v>113</v>
      </c>
      <c r="D39" s="57" t="n">
        <v>100</v>
      </c>
      <c r="E39" s="57" t="n">
        <v>8.3</v>
      </c>
    </row>
    <row r="40" customFormat="false" ht="15" hidden="false" customHeight="false" outlineLevel="0" collapsed="false">
      <c r="A40" s="55" t="s">
        <v>226</v>
      </c>
      <c r="B40" s="11" t="s">
        <v>173</v>
      </c>
      <c r="C40" s="51" t="n">
        <v>39</v>
      </c>
      <c r="D40" s="57" t="n">
        <v>34.5</v>
      </c>
      <c r="E40" s="57" t="n">
        <v>25</v>
      </c>
    </row>
    <row r="41" customFormat="false" ht="15" hidden="false" customHeight="false" outlineLevel="0" collapsed="false">
      <c r="A41" s="55" t="s">
        <v>47</v>
      </c>
      <c r="B41" s="58" t="s">
        <v>174</v>
      </c>
      <c r="C41" s="51" t="n">
        <v>36</v>
      </c>
      <c r="D41" s="57" t="n">
        <v>31.9</v>
      </c>
      <c r="E41" s="57" t="n">
        <v>16.7</v>
      </c>
    </row>
    <row r="42" customFormat="false" ht="15" hidden="false" customHeight="false" outlineLevel="0" collapsed="false">
      <c r="A42" s="55" t="s">
        <v>51</v>
      </c>
      <c r="B42" s="58" t="s">
        <v>174</v>
      </c>
      <c r="C42" s="51" t="n">
        <v>31</v>
      </c>
      <c r="D42" s="57" t="n">
        <v>27.4</v>
      </c>
      <c r="E42" s="57" t="n">
        <v>16.7</v>
      </c>
    </row>
    <row r="43" customFormat="false" ht="15" hidden="false" customHeight="false" outlineLevel="0" collapsed="false">
      <c r="A43" s="55" t="s">
        <v>90</v>
      </c>
      <c r="B43" s="11" t="s">
        <v>173</v>
      </c>
      <c r="C43" s="51" t="n">
        <v>29</v>
      </c>
      <c r="D43" s="57" t="n">
        <v>25.7</v>
      </c>
      <c r="E43" s="57" t="n">
        <v>8.3</v>
      </c>
    </row>
    <row r="44" customFormat="false" ht="15" hidden="false" customHeight="false" outlineLevel="0" collapsed="false">
      <c r="A44" s="55" t="s">
        <v>196</v>
      </c>
      <c r="B44" s="15" t="s">
        <v>176</v>
      </c>
      <c r="C44" s="51" t="n">
        <v>25</v>
      </c>
      <c r="D44" s="57" t="n">
        <v>22.1</v>
      </c>
      <c r="E44" s="57" t="n">
        <v>8.3</v>
      </c>
    </row>
    <row r="45" customFormat="false" ht="15" hidden="false" customHeight="false" outlineLevel="0" collapsed="false">
      <c r="A45" s="55" t="s">
        <v>175</v>
      </c>
      <c r="B45" s="15" t="s">
        <v>176</v>
      </c>
      <c r="C45" s="51" t="n">
        <v>24</v>
      </c>
      <c r="D45" s="57" t="n">
        <v>21.2</v>
      </c>
      <c r="E45" s="57" t="n">
        <v>0</v>
      </c>
    </row>
    <row r="46" customFormat="false" ht="15" hidden="false" customHeight="false" outlineLevel="0" collapsed="false">
      <c r="A46" s="55" t="s">
        <v>91</v>
      </c>
      <c r="B46" s="11" t="s">
        <v>173</v>
      </c>
      <c r="C46" s="51" t="n">
        <v>18</v>
      </c>
      <c r="D46" s="57" t="n">
        <v>15.9</v>
      </c>
      <c r="E46" s="57" t="n">
        <v>0</v>
      </c>
    </row>
    <row r="47" customFormat="false" ht="15" hidden="false" customHeight="false" outlineLevel="0" collapsed="false">
      <c r="A47" s="55" t="s">
        <v>49</v>
      </c>
      <c r="B47" s="58" t="s">
        <v>174</v>
      </c>
      <c r="C47" s="51" t="n">
        <v>18</v>
      </c>
      <c r="D47" s="57" t="n">
        <v>15.9</v>
      </c>
      <c r="E47" s="57" t="n">
        <v>0</v>
      </c>
    </row>
    <row r="48" customFormat="false" ht="15" hidden="false" customHeight="false" outlineLevel="0" collapsed="false">
      <c r="A48" s="55" t="s">
        <v>92</v>
      </c>
      <c r="B48" s="11" t="s">
        <v>173</v>
      </c>
      <c r="C48" s="51" t="n">
        <v>12</v>
      </c>
      <c r="D48" s="57" t="n">
        <v>10.6</v>
      </c>
      <c r="E48" s="57" t="n">
        <v>0</v>
      </c>
    </row>
    <row r="49" customFormat="false" ht="15" hidden="false" customHeight="false" outlineLevel="0" collapsed="false">
      <c r="A49" s="55" t="s">
        <v>93</v>
      </c>
      <c r="B49" s="11" t="s">
        <v>173</v>
      </c>
      <c r="C49" s="51" t="n">
        <v>12</v>
      </c>
      <c r="D49" s="57" t="n">
        <v>10.6</v>
      </c>
      <c r="E49" s="57" t="n">
        <v>0</v>
      </c>
    </row>
    <row r="50" customFormat="false" ht="15" hidden="false" customHeight="false" outlineLevel="0" collapsed="false">
      <c r="A50" s="55" t="s">
        <v>94</v>
      </c>
      <c r="B50" s="11" t="s">
        <v>173</v>
      </c>
      <c r="C50" s="51" t="n">
        <v>10</v>
      </c>
      <c r="D50" s="57" t="n">
        <v>8.8</v>
      </c>
      <c r="E50" s="57" t="n">
        <v>0</v>
      </c>
    </row>
    <row r="51" customFormat="false" ht="15" hidden="false" customHeight="false" outlineLevel="0" collapsed="false">
      <c r="A51" s="55" t="s">
        <v>179</v>
      </c>
      <c r="B51" s="11" t="s">
        <v>173</v>
      </c>
      <c r="C51" s="51" t="n">
        <v>10</v>
      </c>
      <c r="D51" s="57" t="n">
        <v>8.8</v>
      </c>
      <c r="E51" s="57" t="n">
        <v>0</v>
      </c>
    </row>
    <row r="52" customFormat="false" ht="15" hidden="false" customHeight="false" outlineLevel="0" collapsed="false">
      <c r="A52" s="55" t="s">
        <v>53</v>
      </c>
      <c r="B52" s="58" t="s">
        <v>174</v>
      </c>
      <c r="C52" s="51" t="n">
        <v>10</v>
      </c>
      <c r="D52" s="57" t="n">
        <v>8.8</v>
      </c>
      <c r="E52" s="57" t="n">
        <v>0</v>
      </c>
    </row>
    <row r="53" customFormat="false" ht="15" hidden="false" customHeight="false" outlineLevel="0" collapsed="false">
      <c r="A53" s="55" t="s">
        <v>59</v>
      </c>
      <c r="B53" s="58" t="s">
        <v>174</v>
      </c>
      <c r="C53" s="51" t="n">
        <v>10</v>
      </c>
      <c r="D53" s="57" t="n">
        <v>8.8</v>
      </c>
      <c r="E53" s="57" t="n">
        <v>0</v>
      </c>
    </row>
    <row r="56" customFormat="false" ht="15" hidden="false" customHeight="false" outlineLevel="0" collapsed="false">
      <c r="A56" s="46" t="s">
        <v>182</v>
      </c>
      <c r="B56" s="46"/>
      <c r="C56" s="46"/>
      <c r="D56" s="46"/>
      <c r="E56" s="46"/>
      <c r="F56" s="46"/>
    </row>
    <row r="57" customFormat="false" ht="17.15" hidden="false" customHeight="false" outlineLevel="0" collapsed="false">
      <c r="A57" s="5" t="s">
        <v>183</v>
      </c>
      <c r="B57" s="5" t="s">
        <v>184</v>
      </c>
      <c r="C57" s="5" t="s">
        <v>185</v>
      </c>
    </row>
    <row r="58" customFormat="false" ht="15" hidden="false" customHeight="false" outlineLevel="0" collapsed="false">
      <c r="A58" s="11" t="s">
        <v>52</v>
      </c>
      <c r="B58" s="51" t="n">
        <v>31</v>
      </c>
      <c r="C58" s="59" t="n">
        <f aca="false">B58/427</f>
        <v>0.0725995316159251</v>
      </c>
    </row>
    <row r="59" customFormat="false" ht="15" hidden="false" customHeight="false" outlineLevel="0" collapsed="false">
      <c r="A59" s="11" t="s">
        <v>97</v>
      </c>
      <c r="B59" s="51" t="n">
        <v>7</v>
      </c>
      <c r="C59" s="59" t="n">
        <f aca="false">B59/427</f>
        <v>0.0163934426229508</v>
      </c>
    </row>
    <row r="60" customFormat="false" ht="15" hidden="false" customHeight="false" outlineLevel="0" collapsed="false">
      <c r="A60" s="11" t="s">
        <v>96</v>
      </c>
      <c r="B60" s="51" t="n">
        <v>5</v>
      </c>
      <c r="C60" s="59" t="n">
        <f aca="false">B60/427</f>
        <v>0.0117096018735363</v>
      </c>
    </row>
    <row r="61" customFormat="false" ht="15" hidden="false" customHeight="false" outlineLevel="0" collapsed="false">
      <c r="A61" s="11" t="s">
        <v>73</v>
      </c>
      <c r="B61" s="51" t="n">
        <v>2</v>
      </c>
      <c r="C61" s="59" t="n">
        <f aca="false">B61/427</f>
        <v>0.00468384074941452</v>
      </c>
    </row>
    <row r="62" customFormat="false" ht="15" hidden="false" customHeight="false" outlineLevel="0" collapsed="false">
      <c r="A62" s="11" t="s">
        <v>101</v>
      </c>
      <c r="B62" s="51" t="n">
        <v>1</v>
      </c>
      <c r="C62" s="59" t="n">
        <f aca="false">B62/427</f>
        <v>0.00234192037470726</v>
      </c>
    </row>
    <row r="63" customFormat="false" ht="15" hidden="false" customHeight="false" outlineLevel="0" collapsed="false">
      <c r="A63" s="11" t="s">
        <v>50</v>
      </c>
      <c r="B63" s="51" t="n">
        <v>1</v>
      </c>
      <c r="C63" s="59" t="n">
        <f aca="false">B63/427</f>
        <v>0.00234192037470726</v>
      </c>
    </row>
    <row r="66" customFormat="false" ht="19.4" hidden="false" customHeight="false" outlineLevel="0" collapsed="false">
      <c r="A66" s="46" t="s">
        <v>186</v>
      </c>
      <c r="B66" s="46"/>
      <c r="C66" s="46"/>
      <c r="D66" s="46"/>
      <c r="E66" s="46"/>
      <c r="F66" s="46"/>
    </row>
    <row r="67" customFormat="false" ht="17.15" hidden="false" customHeight="false" outlineLevel="0" collapsed="false">
      <c r="A67" s="5" t="s">
        <v>187</v>
      </c>
      <c r="B67" s="5" t="s">
        <v>184</v>
      </c>
      <c r="C67" s="5" t="s">
        <v>185</v>
      </c>
    </row>
    <row r="68" customFormat="false" ht="15" hidden="false" customHeight="false" outlineLevel="0" collapsed="false">
      <c r="A68" s="11" t="s">
        <v>75</v>
      </c>
      <c r="B68" s="51" t="n">
        <v>17</v>
      </c>
      <c r="C68" s="59" t="n">
        <f aca="false">B68/427</f>
        <v>0.0398126463700234</v>
      </c>
    </row>
    <row r="69" customFormat="false" ht="15" hidden="false" customHeight="false" outlineLevel="0" collapsed="false">
      <c r="A69" s="11" t="s">
        <v>76</v>
      </c>
      <c r="B69" s="51" t="n">
        <v>12</v>
      </c>
      <c r="C69" s="59" t="n">
        <f aca="false">B69/427</f>
        <v>0.0281030444964871</v>
      </c>
    </row>
    <row r="70" customFormat="false" ht="15" hidden="false" customHeight="false" outlineLevel="0" collapsed="false">
      <c r="A70" s="11" t="s">
        <v>77</v>
      </c>
      <c r="B70" s="51" t="n">
        <v>3</v>
      </c>
      <c r="C70" s="59" t="n">
        <f aca="false">B70/427</f>
        <v>0.00702576112412178</v>
      </c>
    </row>
    <row r="71" customFormat="false" ht="15" hidden="false" customHeight="false" outlineLevel="0" collapsed="false">
      <c r="A71" s="11" t="s">
        <v>84</v>
      </c>
      <c r="B71" s="51" t="n">
        <v>3</v>
      </c>
      <c r="C71" s="59" t="n">
        <f aca="false">B71/427</f>
        <v>0.00702576112412178</v>
      </c>
    </row>
    <row r="72" customFormat="false" ht="15" hidden="false" customHeight="false" outlineLevel="0" collapsed="false">
      <c r="A72" s="11" t="s">
        <v>78</v>
      </c>
      <c r="B72" s="51" t="n">
        <v>2</v>
      </c>
      <c r="C72" s="59" t="n">
        <f aca="false">B72/427</f>
        <v>0.00468384074941452</v>
      </c>
    </row>
    <row r="73" customFormat="false" ht="15" hidden="false" customHeight="false" outlineLevel="0" collapsed="false">
      <c r="A73" s="11" t="s">
        <v>79</v>
      </c>
      <c r="B73" s="51" t="n">
        <v>2</v>
      </c>
      <c r="C73" s="59" t="n">
        <f aca="false">B73/427</f>
        <v>0.00468384074941452</v>
      </c>
    </row>
    <row r="74" customFormat="false" ht="15" hidden="false" customHeight="false" outlineLevel="0" collapsed="false">
      <c r="A74" s="11" t="s">
        <v>83</v>
      </c>
      <c r="B74" s="51" t="n">
        <v>1</v>
      </c>
      <c r="C74" s="59" t="n">
        <f aca="false">B74/427</f>
        <v>0.00234192037470726</v>
      </c>
    </row>
    <row r="75" customFormat="false" ht="15" hidden="false" customHeight="false" outlineLevel="0" collapsed="false">
      <c r="A75" s="11" t="s">
        <v>82</v>
      </c>
      <c r="B75" s="51" t="n">
        <v>1</v>
      </c>
      <c r="C75" s="59" t="n">
        <f aca="false">B75/427</f>
        <v>0.00234192037470726</v>
      </c>
    </row>
    <row r="78" customFormat="false" ht="19.4" hidden="false" customHeight="false" outlineLevel="0" collapsed="false">
      <c r="A78" s="46" t="s">
        <v>188</v>
      </c>
      <c r="B78" s="46"/>
      <c r="C78" s="46"/>
      <c r="D78" s="46"/>
      <c r="E78" s="46"/>
      <c r="F78" s="46"/>
    </row>
    <row r="79" customFormat="false" ht="42" hidden="false" customHeight="true" outlineLevel="0" collapsed="false">
      <c r="A79" s="60" t="s">
        <v>189</v>
      </c>
      <c r="B79" s="61" t="s">
        <v>237</v>
      </c>
      <c r="C79" s="61"/>
      <c r="D79" s="61"/>
      <c r="E79" s="61"/>
      <c r="F79" s="61"/>
    </row>
    <row r="80" customFormat="false" ht="42" hidden="false" customHeight="true" outlineLevel="0" collapsed="false">
      <c r="A80" s="60" t="s">
        <v>189</v>
      </c>
      <c r="B80" s="61" t="s">
        <v>238</v>
      </c>
      <c r="C80" s="61"/>
      <c r="D80" s="61"/>
      <c r="E80" s="61"/>
      <c r="F80" s="61"/>
    </row>
    <row r="81" customFormat="false" ht="42" hidden="false" customHeight="true" outlineLevel="0" collapsed="false">
      <c r="A81" s="60" t="s">
        <v>189</v>
      </c>
      <c r="B81" s="61" t="s">
        <v>239</v>
      </c>
      <c r="C81" s="61"/>
      <c r="D81" s="61"/>
      <c r="E81" s="61"/>
      <c r="F81" s="61"/>
    </row>
    <row r="82" customFormat="false" ht="42" hidden="false" customHeight="true" outlineLevel="0" collapsed="false">
      <c r="A82" s="60" t="s">
        <v>189</v>
      </c>
      <c r="B82" s="61" t="s">
        <v>240</v>
      </c>
      <c r="C82" s="61"/>
      <c r="D82" s="61"/>
      <c r="E82" s="61"/>
      <c r="F82" s="61"/>
    </row>
    <row r="83" customFormat="false" ht="42" hidden="false" customHeight="true" outlineLevel="0" collapsed="false">
      <c r="A83" s="60" t="s">
        <v>189</v>
      </c>
      <c r="B83" s="61"/>
      <c r="C83" s="61"/>
      <c r="D83" s="61"/>
      <c r="E83" s="61"/>
      <c r="F83" s="61"/>
    </row>
  </sheetData>
  <mergeCells count="13">
    <mergeCell ref="A1:F1"/>
    <mergeCell ref="A2:F2"/>
    <mergeCell ref="A4:F4"/>
    <mergeCell ref="A20:F20"/>
    <mergeCell ref="A37:F37"/>
    <mergeCell ref="A56:F56"/>
    <mergeCell ref="A66:F66"/>
    <mergeCell ref="A78:F78"/>
    <mergeCell ref="B79:F79"/>
    <mergeCell ref="B80:F80"/>
    <mergeCell ref="B81:F81"/>
    <mergeCell ref="B82:F82"/>
    <mergeCell ref="B83:F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35" t="s">
        <v>241</v>
      </c>
      <c r="B1" s="35"/>
      <c r="C1" s="35"/>
      <c r="D1" s="35"/>
      <c r="E1" s="35"/>
      <c r="F1" s="35"/>
    </row>
    <row r="2" customFormat="false" ht="15" hidden="false" customHeight="false" outlineLevel="0" collapsed="false">
      <c r="A2" s="2" t="s">
        <v>242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46" t="s">
        <v>137</v>
      </c>
      <c r="B4" s="46"/>
      <c r="C4" s="46"/>
      <c r="D4" s="46"/>
      <c r="E4" s="46"/>
      <c r="F4" s="46"/>
    </row>
    <row r="5" customFormat="false" ht="30.55" hidden="false" customHeight="false" outlineLevel="0" collapsed="false">
      <c r="A5" s="4" t="s">
        <v>138</v>
      </c>
      <c r="B5" s="5" t="s">
        <v>139</v>
      </c>
      <c r="D5" s="4" t="s">
        <v>140</v>
      </c>
      <c r="E5" s="5" t="s">
        <v>139</v>
      </c>
    </row>
    <row r="6" customFormat="false" ht="15" hidden="false" customHeight="false" outlineLevel="0" collapsed="false">
      <c r="A6" s="39" t="s">
        <v>46</v>
      </c>
      <c r="B6" s="47" t="n">
        <v>155</v>
      </c>
      <c r="D6" s="41" t="s">
        <v>62</v>
      </c>
      <c r="E6" s="48" t="n">
        <v>10</v>
      </c>
    </row>
    <row r="7" customFormat="false" ht="15" hidden="false" customHeight="false" outlineLevel="0" collapsed="false">
      <c r="A7" s="39" t="s">
        <v>48</v>
      </c>
      <c r="B7" s="47" t="n">
        <v>44</v>
      </c>
      <c r="D7" s="41" t="s">
        <v>117</v>
      </c>
      <c r="E7" s="48" t="n">
        <v>9</v>
      </c>
    </row>
    <row r="8" customFormat="false" ht="15" hidden="false" customHeight="false" outlineLevel="0" collapsed="false">
      <c r="A8" s="39" t="s">
        <v>118</v>
      </c>
      <c r="B8" s="47" t="n">
        <v>42</v>
      </c>
      <c r="D8" s="41" t="s">
        <v>63</v>
      </c>
      <c r="E8" s="48" t="n">
        <v>5</v>
      </c>
    </row>
    <row r="9" customFormat="false" ht="15" hidden="false" customHeight="false" outlineLevel="0" collapsed="false">
      <c r="A9" s="39" t="s">
        <v>47</v>
      </c>
      <c r="B9" s="47" t="n">
        <v>41</v>
      </c>
      <c r="D9" s="41" t="s">
        <v>119</v>
      </c>
      <c r="E9" s="48" t="n">
        <v>4</v>
      </c>
    </row>
    <row r="10" customFormat="false" ht="15" hidden="false" customHeight="false" outlineLevel="0" collapsed="false">
      <c r="A10" s="39" t="s">
        <v>120</v>
      </c>
      <c r="B10" s="47" t="n">
        <v>35</v>
      </c>
      <c r="D10" s="41" t="s">
        <v>64</v>
      </c>
      <c r="E10" s="48" t="n">
        <v>2</v>
      </c>
    </row>
    <row r="11" customFormat="false" ht="15" hidden="false" customHeight="false" outlineLevel="0" collapsed="false">
      <c r="A11" s="39" t="s">
        <v>54</v>
      </c>
      <c r="B11" s="47" t="n">
        <v>24</v>
      </c>
      <c r="D11" s="41" t="s">
        <v>70</v>
      </c>
      <c r="E11" s="48" t="n">
        <v>2</v>
      </c>
    </row>
    <row r="12" customFormat="false" ht="15" hidden="false" customHeight="false" outlineLevel="0" collapsed="false">
      <c r="A12" s="39" t="s">
        <v>243</v>
      </c>
      <c r="B12" s="47" t="n">
        <v>19</v>
      </c>
    </row>
    <row r="13" customFormat="false" ht="15" hidden="false" customHeight="false" outlineLevel="0" collapsed="false">
      <c r="A13" s="39" t="s">
        <v>50</v>
      </c>
      <c r="B13" s="47" t="n">
        <v>14</v>
      </c>
    </row>
    <row r="14" customFormat="false" ht="15" hidden="false" customHeight="false" outlineLevel="0" collapsed="false">
      <c r="A14" s="39" t="s">
        <v>56</v>
      </c>
      <c r="B14" s="47" t="n">
        <v>12</v>
      </c>
    </row>
    <row r="15" customFormat="false" ht="15" hidden="false" customHeight="false" outlineLevel="0" collapsed="false">
      <c r="A15" s="39" t="s">
        <v>244</v>
      </c>
      <c r="B15" s="47" t="n">
        <v>10</v>
      </c>
    </row>
    <row r="16" customFormat="false" ht="15" hidden="false" customHeight="false" outlineLevel="0" collapsed="false">
      <c r="A16" s="39" t="s">
        <v>53</v>
      </c>
      <c r="B16" s="47" t="n">
        <v>6</v>
      </c>
    </row>
    <row r="17" customFormat="false" ht="15" hidden="false" customHeight="false" outlineLevel="0" collapsed="false">
      <c r="A17" s="39" t="s">
        <v>52</v>
      </c>
      <c r="B17" s="47" t="n">
        <v>6</v>
      </c>
    </row>
    <row r="20" customFormat="false" ht="15" hidden="false" customHeight="false" outlineLevel="0" collapsed="false">
      <c r="A20" s="46" t="s">
        <v>141</v>
      </c>
      <c r="B20" s="46"/>
      <c r="C20" s="46"/>
      <c r="D20" s="46"/>
      <c r="E20" s="46"/>
      <c r="F20" s="46"/>
    </row>
    <row r="21" customFormat="false" ht="17.15" hidden="false" customHeight="false" outlineLevel="0" collapsed="false">
      <c r="A21" s="5" t="s">
        <v>142</v>
      </c>
      <c r="B21" s="5" t="s">
        <v>143</v>
      </c>
      <c r="C21" s="5" t="s">
        <v>144</v>
      </c>
      <c r="D21" s="5" t="s">
        <v>145</v>
      </c>
      <c r="E21" s="5" t="s">
        <v>146</v>
      </c>
    </row>
    <row r="22" customFormat="false" ht="26.85" hidden="false" customHeight="false" outlineLevel="0" collapsed="false">
      <c r="A22" s="7" t="s">
        <v>147</v>
      </c>
      <c r="B22" s="7" t="s">
        <v>148</v>
      </c>
      <c r="C22" s="7" t="s">
        <v>149</v>
      </c>
      <c r="D22" s="49" t="n">
        <v>588</v>
      </c>
      <c r="E22" s="50" t="n">
        <v>0.42</v>
      </c>
    </row>
    <row r="23" customFormat="false" ht="26.85" hidden="false" customHeight="false" outlineLevel="0" collapsed="false">
      <c r="A23" s="11" t="s">
        <v>147</v>
      </c>
      <c r="B23" s="11" t="s">
        <v>148</v>
      </c>
      <c r="C23" s="11" t="s">
        <v>150</v>
      </c>
      <c r="D23" s="51" t="n">
        <v>332</v>
      </c>
      <c r="E23" s="52" t="n">
        <v>0.24</v>
      </c>
    </row>
    <row r="24" customFormat="false" ht="26.85" hidden="false" customHeight="false" outlineLevel="0" collapsed="false">
      <c r="A24" s="7" t="s">
        <v>147</v>
      </c>
      <c r="B24" s="7" t="s">
        <v>148</v>
      </c>
      <c r="C24" s="7" t="s">
        <v>151</v>
      </c>
      <c r="D24" s="49" t="n">
        <v>268</v>
      </c>
      <c r="E24" s="50" t="n">
        <v>0.19</v>
      </c>
    </row>
    <row r="25" customFormat="false" ht="26.85" hidden="false" customHeight="false" outlineLevel="0" collapsed="false">
      <c r="A25" s="11" t="s">
        <v>147</v>
      </c>
      <c r="B25" s="11" t="s">
        <v>148</v>
      </c>
      <c r="C25" s="11" t="s">
        <v>152</v>
      </c>
      <c r="D25" s="51" t="n">
        <v>180</v>
      </c>
      <c r="E25" s="52" t="n">
        <v>0.13</v>
      </c>
    </row>
    <row r="26" customFormat="false" ht="15" hidden="false" customHeight="false" outlineLevel="0" collapsed="false">
      <c r="A26" s="7" t="s">
        <v>153</v>
      </c>
      <c r="B26" s="7" t="s">
        <v>154</v>
      </c>
      <c r="C26" s="53" t="s">
        <v>155</v>
      </c>
      <c r="D26" s="49" t="n">
        <v>1036</v>
      </c>
      <c r="E26" s="54" t="n">
        <v>0.75</v>
      </c>
    </row>
    <row r="27" customFormat="false" ht="15" hidden="false" customHeight="false" outlineLevel="0" collapsed="false">
      <c r="A27" s="11" t="s">
        <v>153</v>
      </c>
      <c r="B27" s="11" t="s">
        <v>154</v>
      </c>
      <c r="C27" s="11" t="s">
        <v>156</v>
      </c>
      <c r="D27" s="51" t="n">
        <v>324</v>
      </c>
      <c r="E27" s="52" t="n">
        <v>0.23</v>
      </c>
    </row>
    <row r="28" customFormat="false" ht="15" hidden="false" customHeight="false" outlineLevel="0" collapsed="false">
      <c r="A28" s="7" t="s">
        <v>153</v>
      </c>
      <c r="B28" s="7" t="s">
        <v>154</v>
      </c>
      <c r="C28" s="7" t="s">
        <v>157</v>
      </c>
      <c r="D28" s="49" t="n">
        <v>8</v>
      </c>
      <c r="E28" s="50" t="n">
        <v>0</v>
      </c>
    </row>
    <row r="29" customFormat="false" ht="15" hidden="false" customHeight="false" outlineLevel="0" collapsed="false">
      <c r="A29" s="11" t="s">
        <v>162</v>
      </c>
      <c r="B29" s="11" t="s">
        <v>163</v>
      </c>
      <c r="C29" s="55" t="s">
        <v>164</v>
      </c>
      <c r="D29" s="51" t="n">
        <v>736</v>
      </c>
      <c r="E29" s="56" t="n">
        <v>0.53</v>
      </c>
    </row>
    <row r="30" customFormat="false" ht="15" hidden="false" customHeight="false" outlineLevel="0" collapsed="false">
      <c r="A30" s="7" t="s">
        <v>162</v>
      </c>
      <c r="B30" s="7" t="s">
        <v>163</v>
      </c>
      <c r="C30" s="7" t="s">
        <v>165</v>
      </c>
      <c r="D30" s="49" t="n">
        <v>616</v>
      </c>
      <c r="E30" s="50" t="n">
        <v>0.45</v>
      </c>
    </row>
    <row r="31" customFormat="false" ht="15" hidden="false" customHeight="false" outlineLevel="0" collapsed="false">
      <c r="A31" s="11" t="s">
        <v>162</v>
      </c>
      <c r="B31" s="11" t="s">
        <v>163</v>
      </c>
      <c r="C31" s="11" t="s">
        <v>166</v>
      </c>
      <c r="D31" s="51" t="n">
        <v>16</v>
      </c>
      <c r="E31" s="52" t="n">
        <v>0.01</v>
      </c>
    </row>
    <row r="32" customFormat="false" ht="15" hidden="false" customHeight="false" outlineLevel="0" collapsed="false">
      <c r="A32" s="7" t="s">
        <v>245</v>
      </c>
      <c r="B32" s="7" t="s">
        <v>246</v>
      </c>
      <c r="C32" s="53" t="s">
        <v>247</v>
      </c>
      <c r="D32" s="49" t="n">
        <v>904</v>
      </c>
      <c r="E32" s="54" t="n">
        <v>0.66</v>
      </c>
    </row>
    <row r="33" customFormat="false" ht="15" hidden="false" customHeight="false" outlineLevel="0" collapsed="false">
      <c r="A33" s="11" t="s">
        <v>245</v>
      </c>
      <c r="B33" s="11" t="s">
        <v>246</v>
      </c>
      <c r="C33" s="11" t="s">
        <v>156</v>
      </c>
      <c r="D33" s="51" t="n">
        <v>444</v>
      </c>
      <c r="E33" s="52" t="n">
        <v>0.32</v>
      </c>
    </row>
    <row r="34" customFormat="false" ht="15" hidden="false" customHeight="false" outlineLevel="0" collapsed="false">
      <c r="A34" s="7" t="s">
        <v>245</v>
      </c>
      <c r="B34" s="7" t="s">
        <v>246</v>
      </c>
      <c r="C34" s="7" t="s">
        <v>248</v>
      </c>
      <c r="D34" s="49" t="n">
        <v>20</v>
      </c>
      <c r="E34" s="50" t="n">
        <v>0.01</v>
      </c>
    </row>
    <row r="37" customFormat="false" ht="19.4" hidden="false" customHeight="false" outlineLevel="0" collapsed="false">
      <c r="A37" s="46" t="s">
        <v>167</v>
      </c>
      <c r="B37" s="46"/>
      <c r="C37" s="46"/>
      <c r="D37" s="46"/>
      <c r="E37" s="46"/>
      <c r="F37" s="46"/>
    </row>
    <row r="38" customFormat="false" ht="17.15" hidden="false" customHeight="false" outlineLevel="0" collapsed="false">
      <c r="A38" s="5" t="s">
        <v>168</v>
      </c>
      <c r="B38" s="5" t="s">
        <v>169</v>
      </c>
      <c r="C38" s="5" t="s">
        <v>170</v>
      </c>
      <c r="D38" s="5" t="s">
        <v>171</v>
      </c>
      <c r="E38" s="5" t="s">
        <v>172</v>
      </c>
    </row>
    <row r="39" customFormat="false" ht="15" hidden="false" customHeight="false" outlineLevel="0" collapsed="false">
      <c r="A39" s="55" t="s">
        <v>46</v>
      </c>
      <c r="B39" s="58" t="s">
        <v>174</v>
      </c>
      <c r="C39" s="51" t="n">
        <v>138</v>
      </c>
      <c r="D39" s="57" t="n">
        <v>127.8</v>
      </c>
      <c r="E39" s="57" t="n">
        <v>23.3</v>
      </c>
    </row>
    <row r="40" customFormat="false" ht="15" hidden="false" customHeight="false" outlineLevel="0" collapsed="false">
      <c r="A40" s="55" t="s">
        <v>91</v>
      </c>
      <c r="B40" s="11" t="s">
        <v>173</v>
      </c>
      <c r="C40" s="51" t="n">
        <v>38</v>
      </c>
      <c r="D40" s="57" t="n">
        <v>35.2</v>
      </c>
      <c r="E40" s="57" t="n">
        <v>0</v>
      </c>
    </row>
    <row r="41" customFormat="false" ht="15" hidden="false" customHeight="false" outlineLevel="0" collapsed="false">
      <c r="A41" s="55" t="s">
        <v>47</v>
      </c>
      <c r="B41" s="58" t="s">
        <v>174</v>
      </c>
      <c r="C41" s="51" t="n">
        <v>37</v>
      </c>
      <c r="D41" s="57" t="n">
        <v>34.3</v>
      </c>
      <c r="E41" s="57" t="n">
        <v>0</v>
      </c>
    </row>
    <row r="42" customFormat="false" ht="15" hidden="false" customHeight="false" outlineLevel="0" collapsed="false">
      <c r="A42" s="55" t="s">
        <v>120</v>
      </c>
      <c r="B42" s="58" t="s">
        <v>174</v>
      </c>
      <c r="C42" s="51" t="n">
        <v>33</v>
      </c>
      <c r="D42" s="57" t="n">
        <v>30.6</v>
      </c>
      <c r="E42" s="57" t="n">
        <v>0</v>
      </c>
    </row>
    <row r="43" customFormat="false" ht="15" hidden="false" customHeight="false" outlineLevel="0" collapsed="false">
      <c r="A43" s="55" t="s">
        <v>178</v>
      </c>
      <c r="B43" s="11" t="s">
        <v>173</v>
      </c>
      <c r="C43" s="51" t="n">
        <v>17</v>
      </c>
      <c r="D43" s="57" t="n">
        <v>15.7</v>
      </c>
      <c r="E43" s="57" t="n">
        <v>0</v>
      </c>
    </row>
    <row r="44" customFormat="false" ht="15" hidden="false" customHeight="false" outlineLevel="0" collapsed="false">
      <c r="A44" s="55" t="s">
        <v>50</v>
      </c>
      <c r="B44" s="58" t="s">
        <v>174</v>
      </c>
      <c r="C44" s="51" t="n">
        <v>14</v>
      </c>
      <c r="D44" s="57" t="n">
        <v>13</v>
      </c>
      <c r="E44" s="57" t="n">
        <v>0</v>
      </c>
    </row>
    <row r="45" customFormat="false" ht="15" hidden="false" customHeight="false" outlineLevel="0" collapsed="false">
      <c r="A45" s="55" t="s">
        <v>92</v>
      </c>
      <c r="B45" s="11" t="s">
        <v>173</v>
      </c>
      <c r="C45" s="51" t="n">
        <v>14</v>
      </c>
      <c r="D45" s="57" t="n">
        <v>13</v>
      </c>
      <c r="E45" s="57" t="n">
        <v>0</v>
      </c>
    </row>
    <row r="46" customFormat="false" ht="15" hidden="false" customHeight="false" outlineLevel="0" collapsed="false">
      <c r="A46" s="55" t="s">
        <v>179</v>
      </c>
      <c r="B46" s="11" t="s">
        <v>173</v>
      </c>
      <c r="C46" s="51" t="n">
        <v>13</v>
      </c>
      <c r="D46" s="57" t="n">
        <v>12</v>
      </c>
      <c r="E46" s="57" t="n">
        <v>0</v>
      </c>
    </row>
    <row r="47" customFormat="false" ht="15" hidden="false" customHeight="false" outlineLevel="0" collapsed="false">
      <c r="A47" s="55" t="s">
        <v>180</v>
      </c>
      <c r="B47" s="11" t="s">
        <v>173</v>
      </c>
      <c r="C47" s="51" t="n">
        <v>13</v>
      </c>
      <c r="D47" s="57" t="n">
        <v>12</v>
      </c>
      <c r="E47" s="57" t="n">
        <v>0</v>
      </c>
    </row>
    <row r="48" customFormat="false" ht="15" hidden="false" customHeight="false" outlineLevel="0" collapsed="false">
      <c r="A48" s="55" t="s">
        <v>94</v>
      </c>
      <c r="B48" s="11" t="s">
        <v>173</v>
      </c>
      <c r="C48" s="51" t="n">
        <v>12</v>
      </c>
      <c r="D48" s="57" t="n">
        <v>11.1</v>
      </c>
      <c r="E48" s="57" t="n">
        <v>0</v>
      </c>
    </row>
    <row r="49" customFormat="false" ht="15" hidden="false" customHeight="false" outlineLevel="0" collapsed="false">
      <c r="A49" s="55" t="s">
        <v>93</v>
      </c>
      <c r="B49" s="11" t="s">
        <v>173</v>
      </c>
      <c r="C49" s="51" t="n">
        <v>11</v>
      </c>
      <c r="D49" s="57" t="n">
        <v>10.2</v>
      </c>
      <c r="E49" s="57" t="n">
        <v>0</v>
      </c>
    </row>
    <row r="50" customFormat="false" ht="15" hidden="false" customHeight="false" outlineLevel="0" collapsed="false">
      <c r="A50" s="55" t="s">
        <v>249</v>
      </c>
      <c r="B50" s="11" t="s">
        <v>173</v>
      </c>
      <c r="C50" s="51" t="n">
        <v>10</v>
      </c>
      <c r="D50" s="57" t="n">
        <v>9.3</v>
      </c>
      <c r="E50" s="57" t="n">
        <v>0</v>
      </c>
    </row>
    <row r="51" customFormat="false" ht="15" hidden="false" customHeight="false" outlineLevel="0" collapsed="false">
      <c r="A51" s="55" t="s">
        <v>196</v>
      </c>
      <c r="B51" s="15" t="s">
        <v>176</v>
      </c>
      <c r="C51" s="51" t="n">
        <v>10</v>
      </c>
      <c r="D51" s="57" t="n">
        <v>9.3</v>
      </c>
      <c r="E51" s="57" t="n">
        <v>0</v>
      </c>
    </row>
    <row r="52" customFormat="false" ht="15" hidden="false" customHeight="false" outlineLevel="0" collapsed="false">
      <c r="A52" s="55" t="s">
        <v>244</v>
      </c>
      <c r="B52" s="58" t="s">
        <v>174</v>
      </c>
      <c r="C52" s="51" t="n">
        <v>10</v>
      </c>
      <c r="D52" s="57" t="n">
        <v>9.3</v>
      </c>
      <c r="E52" s="57" t="n">
        <v>0</v>
      </c>
    </row>
    <row r="55" customFormat="false" ht="15" hidden="false" customHeight="false" outlineLevel="0" collapsed="false">
      <c r="A55" s="46" t="s">
        <v>182</v>
      </c>
      <c r="B55" s="46"/>
      <c r="C55" s="46"/>
      <c r="D55" s="46"/>
      <c r="E55" s="46"/>
      <c r="F55" s="46"/>
    </row>
    <row r="56" customFormat="false" ht="17.15" hidden="false" customHeight="false" outlineLevel="0" collapsed="false">
      <c r="A56" s="5" t="s">
        <v>183</v>
      </c>
      <c r="B56" s="5" t="s">
        <v>184</v>
      </c>
      <c r="C56" s="5" t="s">
        <v>185</v>
      </c>
    </row>
    <row r="57" customFormat="false" ht="15" hidden="false" customHeight="false" outlineLevel="0" collapsed="false">
      <c r="A57" s="11" t="s">
        <v>97</v>
      </c>
      <c r="B57" s="51" t="n">
        <v>4</v>
      </c>
      <c r="C57" s="59" t="n">
        <f aca="false">B57/419</f>
        <v>0.00954653937947494</v>
      </c>
    </row>
    <row r="58" customFormat="false" ht="15" hidden="false" customHeight="false" outlineLevel="0" collapsed="false">
      <c r="A58" s="11" t="s">
        <v>52</v>
      </c>
      <c r="B58" s="51" t="n">
        <v>4</v>
      </c>
      <c r="C58" s="59" t="n">
        <f aca="false">B58/419</f>
        <v>0.00954653937947494</v>
      </c>
    </row>
    <row r="59" customFormat="false" ht="15" hidden="false" customHeight="false" outlineLevel="0" collapsed="false">
      <c r="A59" s="11" t="s">
        <v>96</v>
      </c>
      <c r="B59" s="51" t="n">
        <v>3</v>
      </c>
      <c r="C59" s="59" t="n">
        <f aca="false">B59/419</f>
        <v>0.00715990453460621</v>
      </c>
    </row>
    <row r="60" customFormat="false" ht="15" hidden="false" customHeight="false" outlineLevel="0" collapsed="false">
      <c r="A60" s="11" t="s">
        <v>50</v>
      </c>
      <c r="B60" s="51" t="n">
        <v>1</v>
      </c>
      <c r="C60" s="59" t="n">
        <f aca="false">B60/419</f>
        <v>0.00238663484486874</v>
      </c>
    </row>
    <row r="61" customFormat="false" ht="15" hidden="false" customHeight="false" outlineLevel="0" collapsed="false">
      <c r="A61" s="11" t="s">
        <v>100</v>
      </c>
      <c r="B61" s="51" t="n">
        <v>1</v>
      </c>
      <c r="C61" s="59" t="n">
        <f aca="false">B61/419</f>
        <v>0.00238663484486874</v>
      </c>
    </row>
    <row r="64" customFormat="false" ht="19.4" hidden="false" customHeight="false" outlineLevel="0" collapsed="false">
      <c r="A64" s="46" t="s">
        <v>186</v>
      </c>
      <c r="B64" s="46"/>
      <c r="C64" s="46"/>
      <c r="D64" s="46"/>
      <c r="E64" s="46"/>
      <c r="F64" s="46"/>
    </row>
    <row r="65" customFormat="false" ht="17.15" hidden="false" customHeight="false" outlineLevel="0" collapsed="false">
      <c r="A65" s="5" t="s">
        <v>187</v>
      </c>
      <c r="B65" s="5" t="s">
        <v>184</v>
      </c>
      <c r="C65" s="5" t="s">
        <v>185</v>
      </c>
    </row>
    <row r="66" customFormat="false" ht="15" hidden="false" customHeight="false" outlineLevel="0" collapsed="false">
      <c r="A66" s="11" t="s">
        <v>75</v>
      </c>
      <c r="B66" s="51" t="n">
        <v>28</v>
      </c>
      <c r="C66" s="59" t="n">
        <f aca="false">B66/419</f>
        <v>0.0668257756563246</v>
      </c>
    </row>
    <row r="67" customFormat="false" ht="15" hidden="false" customHeight="false" outlineLevel="0" collapsed="false">
      <c r="A67" s="11" t="s">
        <v>76</v>
      </c>
      <c r="B67" s="51" t="n">
        <v>20</v>
      </c>
      <c r="C67" s="59" t="n">
        <f aca="false">B67/419</f>
        <v>0.0477326968973747</v>
      </c>
    </row>
    <row r="68" customFormat="false" ht="15" hidden="false" customHeight="false" outlineLevel="0" collapsed="false">
      <c r="A68" s="11" t="s">
        <v>77</v>
      </c>
      <c r="B68" s="51" t="n">
        <v>6</v>
      </c>
      <c r="C68" s="59" t="n">
        <f aca="false">B68/419</f>
        <v>0.0143198090692124</v>
      </c>
    </row>
    <row r="69" customFormat="false" ht="15" hidden="false" customHeight="false" outlineLevel="0" collapsed="false">
      <c r="A69" s="11" t="s">
        <v>78</v>
      </c>
      <c r="B69" s="51" t="n">
        <v>3</v>
      </c>
      <c r="C69" s="59" t="n">
        <f aca="false">B69/419</f>
        <v>0.00715990453460621</v>
      </c>
    </row>
    <row r="70" customFormat="false" ht="15" hidden="false" customHeight="false" outlineLevel="0" collapsed="false">
      <c r="A70" s="11" t="s">
        <v>81</v>
      </c>
      <c r="B70" s="51" t="n">
        <v>3</v>
      </c>
      <c r="C70" s="59" t="n">
        <f aca="false">B70/419</f>
        <v>0.00715990453460621</v>
      </c>
    </row>
    <row r="71" customFormat="false" ht="15" hidden="false" customHeight="false" outlineLevel="0" collapsed="false">
      <c r="A71" s="11" t="s">
        <v>83</v>
      </c>
      <c r="B71" s="51" t="n">
        <v>1</v>
      </c>
      <c r="C71" s="59" t="n">
        <f aca="false">B71/419</f>
        <v>0.00238663484486874</v>
      </c>
    </row>
    <row r="72" customFormat="false" ht="15" hidden="false" customHeight="false" outlineLevel="0" collapsed="false">
      <c r="A72" s="11" t="s">
        <v>80</v>
      </c>
      <c r="B72" s="51" t="n">
        <v>1</v>
      </c>
      <c r="C72" s="59" t="n">
        <f aca="false">B72/419</f>
        <v>0.00238663484486874</v>
      </c>
    </row>
    <row r="75" customFormat="false" ht="19.4" hidden="false" customHeight="false" outlineLevel="0" collapsed="false">
      <c r="A75" s="46" t="s">
        <v>188</v>
      </c>
      <c r="B75" s="46"/>
      <c r="C75" s="46"/>
      <c r="D75" s="46"/>
      <c r="E75" s="46"/>
      <c r="F75" s="46"/>
    </row>
    <row r="76" customFormat="false" ht="42" hidden="false" customHeight="true" outlineLevel="0" collapsed="false">
      <c r="A76" s="60" t="s">
        <v>189</v>
      </c>
      <c r="B76" s="61"/>
      <c r="C76" s="61"/>
      <c r="D76" s="61"/>
      <c r="E76" s="61"/>
      <c r="F76" s="61"/>
    </row>
    <row r="77" customFormat="false" ht="42" hidden="false" customHeight="true" outlineLevel="0" collapsed="false">
      <c r="A77" s="60" t="s">
        <v>200</v>
      </c>
      <c r="B77" s="61" t="s">
        <v>250</v>
      </c>
      <c r="C77" s="61"/>
      <c r="D77" s="61"/>
      <c r="E77" s="61"/>
      <c r="F77" s="61"/>
    </row>
    <row r="78" customFormat="false" ht="42" hidden="false" customHeight="true" outlineLevel="0" collapsed="false">
      <c r="A78" s="60" t="s">
        <v>189</v>
      </c>
      <c r="B78" s="62" t="s">
        <v>251</v>
      </c>
      <c r="C78" s="62"/>
      <c r="D78" s="62"/>
      <c r="E78" s="62"/>
      <c r="F78" s="62"/>
    </row>
    <row r="79" customFormat="false" ht="42" hidden="false" customHeight="true" outlineLevel="0" collapsed="false">
      <c r="A79" s="60" t="s">
        <v>189</v>
      </c>
      <c r="B79" s="61" t="s">
        <v>252</v>
      </c>
      <c r="C79" s="61"/>
      <c r="D79" s="61"/>
      <c r="E79" s="61"/>
      <c r="F79" s="61"/>
    </row>
    <row r="80" customFormat="false" ht="42" hidden="false" customHeight="true" outlineLevel="0" collapsed="false">
      <c r="A80" s="60" t="s">
        <v>189</v>
      </c>
      <c r="B80" s="61" t="s">
        <v>253</v>
      </c>
      <c r="C80" s="61"/>
      <c r="D80" s="61"/>
      <c r="E80" s="61"/>
      <c r="F80" s="61"/>
    </row>
  </sheetData>
  <mergeCells count="13">
    <mergeCell ref="A1:F1"/>
    <mergeCell ref="A2:F2"/>
    <mergeCell ref="A4:F4"/>
    <mergeCell ref="A20:F20"/>
    <mergeCell ref="A37:F37"/>
    <mergeCell ref="A55:F55"/>
    <mergeCell ref="A64:F64"/>
    <mergeCell ref="A75:F75"/>
    <mergeCell ref="B76:F76"/>
    <mergeCell ref="B77:F77"/>
    <mergeCell ref="B78:F78"/>
    <mergeCell ref="B79:F79"/>
    <mergeCell ref="B80:F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35" t="s">
        <v>254</v>
      </c>
      <c r="B1" s="35"/>
      <c r="C1" s="35"/>
      <c r="D1" s="35"/>
      <c r="E1" s="35"/>
      <c r="F1" s="35"/>
    </row>
    <row r="2" customFormat="false" ht="15" hidden="false" customHeight="false" outlineLevel="0" collapsed="false">
      <c r="A2" s="2" t="s">
        <v>255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46" t="s">
        <v>137</v>
      </c>
      <c r="B4" s="46"/>
      <c r="C4" s="46"/>
      <c r="D4" s="46"/>
      <c r="E4" s="46"/>
      <c r="F4" s="46"/>
    </row>
    <row r="5" customFormat="false" ht="30.55" hidden="false" customHeight="false" outlineLevel="0" collapsed="false">
      <c r="A5" s="4" t="s">
        <v>138</v>
      </c>
      <c r="B5" s="5" t="s">
        <v>139</v>
      </c>
      <c r="D5" s="4" t="s">
        <v>140</v>
      </c>
      <c r="E5" s="5" t="s">
        <v>139</v>
      </c>
    </row>
    <row r="6" customFormat="false" ht="15" hidden="false" customHeight="false" outlineLevel="0" collapsed="false">
      <c r="A6" s="39" t="s">
        <v>46</v>
      </c>
      <c r="B6" s="47" t="n">
        <v>88</v>
      </c>
      <c r="D6" s="41" t="s">
        <v>62</v>
      </c>
      <c r="E6" s="48" t="n">
        <v>51</v>
      </c>
    </row>
    <row r="7" customFormat="false" ht="15" hidden="false" customHeight="false" outlineLevel="0" collapsed="false">
      <c r="A7" s="39" t="s">
        <v>122</v>
      </c>
      <c r="B7" s="47" t="n">
        <v>31</v>
      </c>
      <c r="D7" s="41" t="s">
        <v>63</v>
      </c>
      <c r="E7" s="48" t="n">
        <v>21</v>
      </c>
    </row>
    <row r="8" customFormat="false" ht="15" hidden="false" customHeight="false" outlineLevel="0" collapsed="false">
      <c r="A8" s="39" t="s">
        <v>47</v>
      </c>
      <c r="B8" s="47" t="n">
        <v>28</v>
      </c>
      <c r="D8" s="41" t="s">
        <v>65</v>
      </c>
      <c r="E8" s="48" t="n">
        <v>4</v>
      </c>
    </row>
    <row r="9" customFormat="false" ht="15" hidden="false" customHeight="false" outlineLevel="0" collapsed="false">
      <c r="A9" s="39" t="s">
        <v>50</v>
      </c>
      <c r="B9" s="47" t="n">
        <v>20</v>
      </c>
      <c r="D9" s="41" t="s">
        <v>64</v>
      </c>
      <c r="E9" s="48" t="n">
        <v>4</v>
      </c>
    </row>
    <row r="10" customFormat="false" ht="15" hidden="false" customHeight="false" outlineLevel="0" collapsed="false">
      <c r="A10" s="39" t="s">
        <v>48</v>
      </c>
      <c r="B10" s="47" t="n">
        <v>17</v>
      </c>
    </row>
    <row r="11" customFormat="false" ht="15" hidden="false" customHeight="false" outlineLevel="0" collapsed="false">
      <c r="A11" s="39" t="s">
        <v>54</v>
      </c>
      <c r="B11" s="47" t="n">
        <v>8</v>
      </c>
    </row>
    <row r="12" customFormat="false" ht="15" hidden="false" customHeight="false" outlineLevel="0" collapsed="false">
      <c r="A12" s="39" t="s">
        <v>112</v>
      </c>
      <c r="B12" s="47" t="n">
        <v>8</v>
      </c>
    </row>
    <row r="13" customFormat="false" ht="15" hidden="false" customHeight="false" outlineLevel="0" collapsed="false">
      <c r="A13" s="39" t="s">
        <v>49</v>
      </c>
      <c r="B13" s="47" t="n">
        <v>8</v>
      </c>
    </row>
    <row r="14" customFormat="false" ht="15" hidden="false" customHeight="false" outlineLevel="0" collapsed="false">
      <c r="A14" s="39" t="s">
        <v>244</v>
      </c>
      <c r="B14" s="47" t="n">
        <v>6</v>
      </c>
    </row>
    <row r="15" customFormat="false" ht="15" hidden="false" customHeight="false" outlineLevel="0" collapsed="false">
      <c r="A15" s="39" t="s">
        <v>53</v>
      </c>
      <c r="B15" s="47" t="n">
        <v>6</v>
      </c>
    </row>
    <row r="16" customFormat="false" ht="15" hidden="false" customHeight="false" outlineLevel="0" collapsed="false">
      <c r="A16" s="39" t="s">
        <v>51</v>
      </c>
      <c r="B16" s="47" t="n">
        <v>5</v>
      </c>
    </row>
    <row r="17" customFormat="false" ht="15" hidden="false" customHeight="false" outlineLevel="0" collapsed="false">
      <c r="A17" s="39" t="s">
        <v>256</v>
      </c>
      <c r="B17" s="47" t="n">
        <v>4</v>
      </c>
    </row>
    <row r="20" customFormat="false" ht="15" hidden="false" customHeight="false" outlineLevel="0" collapsed="false">
      <c r="A20" s="46" t="s">
        <v>141</v>
      </c>
      <c r="B20" s="46"/>
      <c r="C20" s="46"/>
      <c r="D20" s="46"/>
      <c r="E20" s="46"/>
      <c r="F20" s="46"/>
    </row>
    <row r="21" customFormat="false" ht="17.15" hidden="false" customHeight="false" outlineLevel="0" collapsed="false">
      <c r="A21" s="5" t="s">
        <v>142</v>
      </c>
      <c r="B21" s="5" t="s">
        <v>143</v>
      </c>
      <c r="C21" s="5" t="s">
        <v>144</v>
      </c>
      <c r="D21" s="5" t="s">
        <v>145</v>
      </c>
      <c r="E21" s="5" t="s">
        <v>146</v>
      </c>
    </row>
    <row r="22" customFormat="false" ht="26.85" hidden="false" customHeight="false" outlineLevel="0" collapsed="false">
      <c r="A22" s="7" t="s">
        <v>147</v>
      </c>
      <c r="B22" s="7" t="s">
        <v>148</v>
      </c>
      <c r="C22" s="7" t="s">
        <v>149</v>
      </c>
      <c r="D22" s="49" t="n">
        <v>372</v>
      </c>
      <c r="E22" s="50" t="n">
        <v>0.31</v>
      </c>
    </row>
    <row r="23" customFormat="false" ht="26.85" hidden="false" customHeight="false" outlineLevel="0" collapsed="false">
      <c r="A23" s="11" t="s">
        <v>147</v>
      </c>
      <c r="B23" s="11" t="s">
        <v>148</v>
      </c>
      <c r="C23" s="11" t="s">
        <v>151</v>
      </c>
      <c r="D23" s="51" t="n">
        <v>328</v>
      </c>
      <c r="E23" s="52" t="n">
        <v>0.27</v>
      </c>
    </row>
    <row r="24" customFormat="false" ht="26.85" hidden="false" customHeight="false" outlineLevel="0" collapsed="false">
      <c r="A24" s="7" t="s">
        <v>147</v>
      </c>
      <c r="B24" s="7" t="s">
        <v>148</v>
      </c>
      <c r="C24" s="7" t="s">
        <v>150</v>
      </c>
      <c r="D24" s="49" t="n">
        <v>328</v>
      </c>
      <c r="E24" s="50" t="n">
        <v>0.27</v>
      </c>
    </row>
    <row r="25" customFormat="false" ht="26.85" hidden="false" customHeight="false" outlineLevel="0" collapsed="false">
      <c r="A25" s="11" t="s">
        <v>147</v>
      </c>
      <c r="B25" s="11" t="s">
        <v>148</v>
      </c>
      <c r="C25" s="11" t="s">
        <v>152</v>
      </c>
      <c r="D25" s="51" t="n">
        <v>168</v>
      </c>
      <c r="E25" s="52" t="n">
        <v>0.14</v>
      </c>
    </row>
    <row r="26" customFormat="false" ht="15" hidden="false" customHeight="false" outlineLevel="0" collapsed="false">
      <c r="A26" s="7" t="s">
        <v>153</v>
      </c>
      <c r="B26" s="7" t="s">
        <v>154</v>
      </c>
      <c r="C26" s="53" t="s">
        <v>155</v>
      </c>
      <c r="D26" s="49" t="n">
        <v>880</v>
      </c>
      <c r="E26" s="54" t="n">
        <v>0.73</v>
      </c>
    </row>
    <row r="27" customFormat="false" ht="15" hidden="false" customHeight="false" outlineLevel="0" collapsed="false">
      <c r="A27" s="11" t="s">
        <v>153</v>
      </c>
      <c r="B27" s="11" t="s">
        <v>154</v>
      </c>
      <c r="C27" s="11" t="s">
        <v>156</v>
      </c>
      <c r="D27" s="51" t="n">
        <v>308</v>
      </c>
      <c r="E27" s="52" t="n">
        <v>0.25</v>
      </c>
    </row>
    <row r="28" customFormat="false" ht="15" hidden="false" customHeight="false" outlineLevel="0" collapsed="false">
      <c r="A28" s="7" t="s">
        <v>153</v>
      </c>
      <c r="B28" s="7" t="s">
        <v>154</v>
      </c>
      <c r="C28" s="7" t="s">
        <v>157</v>
      </c>
      <c r="D28" s="49" t="n">
        <v>8</v>
      </c>
      <c r="E28" s="50" t="n">
        <v>0</v>
      </c>
    </row>
    <row r="29" customFormat="false" ht="15" hidden="false" customHeight="false" outlineLevel="0" collapsed="false">
      <c r="A29" s="11" t="s">
        <v>162</v>
      </c>
      <c r="B29" s="11" t="s">
        <v>163</v>
      </c>
      <c r="C29" s="55" t="s">
        <v>164</v>
      </c>
      <c r="D29" s="51" t="n">
        <v>640</v>
      </c>
      <c r="E29" s="56" t="n">
        <v>0.53</v>
      </c>
    </row>
    <row r="30" customFormat="false" ht="15" hidden="false" customHeight="false" outlineLevel="0" collapsed="false">
      <c r="A30" s="7" t="s">
        <v>162</v>
      </c>
      <c r="B30" s="7" t="s">
        <v>163</v>
      </c>
      <c r="C30" s="7" t="s">
        <v>165</v>
      </c>
      <c r="D30" s="49" t="n">
        <v>548</v>
      </c>
      <c r="E30" s="50" t="n">
        <v>0.45</v>
      </c>
    </row>
    <row r="31" customFormat="false" ht="15" hidden="false" customHeight="false" outlineLevel="0" collapsed="false">
      <c r="A31" s="11" t="s">
        <v>162</v>
      </c>
      <c r="B31" s="11" t="s">
        <v>163</v>
      </c>
      <c r="C31" s="11" t="s">
        <v>166</v>
      </c>
      <c r="D31" s="51" t="n">
        <v>8</v>
      </c>
      <c r="E31" s="52" t="n">
        <v>0</v>
      </c>
    </row>
    <row r="32" customFormat="false" ht="15" hidden="false" customHeight="false" outlineLevel="0" collapsed="false">
      <c r="A32" s="7" t="s">
        <v>245</v>
      </c>
      <c r="B32" s="7" t="s">
        <v>246</v>
      </c>
      <c r="C32" s="53" t="s">
        <v>247</v>
      </c>
      <c r="D32" s="49" t="n">
        <v>860</v>
      </c>
      <c r="E32" s="54" t="n">
        <v>0.71</v>
      </c>
    </row>
    <row r="33" customFormat="false" ht="15" hidden="false" customHeight="false" outlineLevel="0" collapsed="false">
      <c r="A33" s="11" t="s">
        <v>245</v>
      </c>
      <c r="B33" s="11" t="s">
        <v>246</v>
      </c>
      <c r="C33" s="11" t="s">
        <v>156</v>
      </c>
      <c r="D33" s="51" t="n">
        <v>324</v>
      </c>
      <c r="E33" s="52" t="n">
        <v>0.27</v>
      </c>
    </row>
    <row r="34" customFormat="false" ht="15" hidden="false" customHeight="false" outlineLevel="0" collapsed="false">
      <c r="A34" s="7" t="s">
        <v>245</v>
      </c>
      <c r="B34" s="7" t="s">
        <v>246</v>
      </c>
      <c r="C34" s="7" t="s">
        <v>248</v>
      </c>
      <c r="D34" s="49" t="n">
        <v>12</v>
      </c>
      <c r="E34" s="50" t="n">
        <v>0.01</v>
      </c>
    </row>
    <row r="37" customFormat="false" ht="19.4" hidden="false" customHeight="false" outlineLevel="0" collapsed="false">
      <c r="A37" s="46" t="s">
        <v>167</v>
      </c>
      <c r="B37" s="46"/>
      <c r="C37" s="46"/>
      <c r="D37" s="46"/>
      <c r="E37" s="46"/>
      <c r="F37" s="46"/>
    </row>
    <row r="38" customFormat="false" ht="17.15" hidden="false" customHeight="false" outlineLevel="0" collapsed="false">
      <c r="A38" s="5" t="s">
        <v>168</v>
      </c>
      <c r="B38" s="5" t="s">
        <v>169</v>
      </c>
      <c r="C38" s="5" t="s">
        <v>170</v>
      </c>
      <c r="D38" s="5" t="s">
        <v>171</v>
      </c>
      <c r="E38" s="5" t="s">
        <v>172</v>
      </c>
    </row>
    <row r="39" customFormat="false" ht="15" hidden="false" customHeight="false" outlineLevel="0" collapsed="false">
      <c r="A39" s="55" t="s">
        <v>257</v>
      </c>
      <c r="B39" s="11" t="s">
        <v>173</v>
      </c>
      <c r="C39" s="51" t="n">
        <v>84</v>
      </c>
      <c r="D39" s="57" t="n">
        <v>80.6</v>
      </c>
      <c r="E39" s="57" t="n">
        <v>34.5</v>
      </c>
    </row>
    <row r="40" customFormat="false" ht="15" hidden="false" customHeight="false" outlineLevel="0" collapsed="false">
      <c r="A40" s="55" t="s">
        <v>196</v>
      </c>
      <c r="B40" s="15" t="s">
        <v>176</v>
      </c>
      <c r="C40" s="51" t="n">
        <v>45</v>
      </c>
      <c r="D40" s="57" t="n">
        <v>43.2</v>
      </c>
      <c r="E40" s="57" t="n">
        <v>0</v>
      </c>
    </row>
    <row r="41" customFormat="false" ht="15" hidden="false" customHeight="false" outlineLevel="0" collapsed="false">
      <c r="A41" s="55" t="s">
        <v>90</v>
      </c>
      <c r="B41" s="11" t="s">
        <v>173</v>
      </c>
      <c r="C41" s="51" t="n">
        <v>42</v>
      </c>
      <c r="D41" s="57" t="n">
        <v>40.3</v>
      </c>
      <c r="E41" s="57" t="n">
        <v>0</v>
      </c>
    </row>
    <row r="42" customFormat="false" ht="15" hidden="false" customHeight="false" outlineLevel="0" collapsed="false">
      <c r="A42" s="55" t="s">
        <v>228</v>
      </c>
      <c r="B42" s="11" t="s">
        <v>173</v>
      </c>
      <c r="C42" s="51" t="n">
        <v>28</v>
      </c>
      <c r="D42" s="57" t="n">
        <v>26.9</v>
      </c>
      <c r="E42" s="57" t="n">
        <v>0</v>
      </c>
    </row>
    <row r="43" customFormat="false" ht="15" hidden="false" customHeight="false" outlineLevel="0" collapsed="false">
      <c r="A43" s="55" t="s">
        <v>122</v>
      </c>
      <c r="B43" s="58" t="s">
        <v>174</v>
      </c>
      <c r="C43" s="51" t="n">
        <v>21</v>
      </c>
      <c r="D43" s="57" t="n">
        <v>20.2</v>
      </c>
      <c r="E43" s="57" t="n">
        <v>0</v>
      </c>
    </row>
    <row r="44" customFormat="false" ht="15" hidden="false" customHeight="false" outlineLevel="0" collapsed="false">
      <c r="A44" s="55" t="s">
        <v>175</v>
      </c>
      <c r="B44" s="15" t="s">
        <v>176</v>
      </c>
      <c r="C44" s="51" t="n">
        <v>19</v>
      </c>
      <c r="D44" s="57" t="n">
        <v>18.2</v>
      </c>
      <c r="E44" s="57" t="n">
        <v>0</v>
      </c>
    </row>
    <row r="45" customFormat="false" ht="15" hidden="false" customHeight="false" outlineLevel="0" collapsed="false">
      <c r="A45" s="55" t="s">
        <v>50</v>
      </c>
      <c r="B45" s="58" t="s">
        <v>174</v>
      </c>
      <c r="C45" s="51" t="n">
        <v>18</v>
      </c>
      <c r="D45" s="57" t="n">
        <v>17.3</v>
      </c>
      <c r="E45" s="57" t="n">
        <v>0</v>
      </c>
    </row>
    <row r="46" customFormat="false" ht="15" hidden="false" customHeight="false" outlineLevel="0" collapsed="false">
      <c r="A46" s="55" t="s">
        <v>258</v>
      </c>
      <c r="B46" s="11" t="s">
        <v>173</v>
      </c>
      <c r="C46" s="51" t="n">
        <v>17</v>
      </c>
      <c r="D46" s="57" t="n">
        <v>16.3</v>
      </c>
      <c r="E46" s="57" t="n">
        <v>0</v>
      </c>
    </row>
    <row r="47" customFormat="false" ht="15" hidden="false" customHeight="false" outlineLevel="0" collapsed="false">
      <c r="A47" s="55" t="s">
        <v>48</v>
      </c>
      <c r="B47" s="58" t="s">
        <v>174</v>
      </c>
      <c r="C47" s="51" t="n">
        <v>16</v>
      </c>
      <c r="D47" s="57" t="n">
        <v>15.4</v>
      </c>
      <c r="E47" s="57" t="n">
        <v>0</v>
      </c>
    </row>
    <row r="48" customFormat="false" ht="15" hidden="false" customHeight="false" outlineLevel="0" collapsed="false">
      <c r="A48" s="55" t="s">
        <v>91</v>
      </c>
      <c r="B48" s="11" t="s">
        <v>173</v>
      </c>
      <c r="C48" s="51" t="n">
        <v>16</v>
      </c>
      <c r="D48" s="57" t="n">
        <v>15.4</v>
      </c>
      <c r="E48" s="57" t="n">
        <v>0</v>
      </c>
    </row>
    <row r="49" customFormat="false" ht="15" hidden="false" customHeight="false" outlineLevel="0" collapsed="false">
      <c r="A49" s="55" t="s">
        <v>259</v>
      </c>
      <c r="B49" s="11" t="s">
        <v>173</v>
      </c>
      <c r="C49" s="51" t="n">
        <v>12</v>
      </c>
      <c r="D49" s="57" t="n">
        <v>11.5</v>
      </c>
      <c r="E49" s="57" t="n">
        <v>0</v>
      </c>
    </row>
    <row r="50" customFormat="false" ht="15" hidden="false" customHeight="false" outlineLevel="0" collapsed="false">
      <c r="A50" s="55" t="s">
        <v>93</v>
      </c>
      <c r="B50" s="11" t="s">
        <v>173</v>
      </c>
      <c r="C50" s="51" t="n">
        <v>11</v>
      </c>
      <c r="D50" s="57" t="n">
        <v>10.6</v>
      </c>
      <c r="E50" s="57" t="n">
        <v>0</v>
      </c>
    </row>
    <row r="53" customFormat="false" ht="15" hidden="false" customHeight="false" outlineLevel="0" collapsed="false">
      <c r="A53" s="46" t="s">
        <v>182</v>
      </c>
      <c r="B53" s="46"/>
      <c r="C53" s="46"/>
      <c r="D53" s="46"/>
      <c r="E53" s="46"/>
      <c r="F53" s="46"/>
    </row>
    <row r="54" customFormat="false" ht="17.15" hidden="false" customHeight="false" outlineLevel="0" collapsed="false">
      <c r="A54" s="5" t="s">
        <v>183</v>
      </c>
      <c r="B54" s="5" t="s">
        <v>184</v>
      </c>
      <c r="C54" s="5" t="s">
        <v>185</v>
      </c>
    </row>
    <row r="55" customFormat="false" ht="15" hidden="false" customHeight="false" outlineLevel="0" collapsed="false">
      <c r="A55" s="11" t="s">
        <v>52</v>
      </c>
      <c r="B55" s="51" t="n">
        <v>2</v>
      </c>
      <c r="C55" s="59" t="n">
        <f aca="false">B55/329</f>
        <v>0.0060790273556231</v>
      </c>
    </row>
    <row r="56" customFormat="false" ht="15" hidden="false" customHeight="false" outlineLevel="0" collapsed="false">
      <c r="A56" s="11" t="s">
        <v>99</v>
      </c>
      <c r="B56" s="51" t="n">
        <v>2</v>
      </c>
      <c r="C56" s="59" t="n">
        <f aca="false">B56/329</f>
        <v>0.0060790273556231</v>
      </c>
    </row>
    <row r="59" customFormat="false" ht="19.4" hidden="false" customHeight="false" outlineLevel="0" collapsed="false">
      <c r="A59" s="46" t="s">
        <v>186</v>
      </c>
      <c r="B59" s="46"/>
      <c r="C59" s="46"/>
      <c r="D59" s="46"/>
      <c r="E59" s="46"/>
      <c r="F59" s="46"/>
    </row>
    <row r="60" customFormat="false" ht="17.15" hidden="false" customHeight="false" outlineLevel="0" collapsed="false">
      <c r="A60" s="5" t="s">
        <v>187</v>
      </c>
      <c r="B60" s="5" t="s">
        <v>184</v>
      </c>
      <c r="C60" s="5" t="s">
        <v>185</v>
      </c>
    </row>
    <row r="61" customFormat="false" ht="15" hidden="false" customHeight="false" outlineLevel="0" collapsed="false">
      <c r="A61" s="11" t="s">
        <v>75</v>
      </c>
      <c r="B61" s="51" t="n">
        <v>14</v>
      </c>
      <c r="C61" s="59" t="n">
        <f aca="false">B61/329</f>
        <v>0.0425531914893617</v>
      </c>
    </row>
    <row r="62" customFormat="false" ht="15" hidden="false" customHeight="false" outlineLevel="0" collapsed="false">
      <c r="A62" s="11" t="s">
        <v>76</v>
      </c>
      <c r="B62" s="51" t="n">
        <v>9</v>
      </c>
      <c r="C62" s="59" t="n">
        <f aca="false">B62/329</f>
        <v>0.027355623100304</v>
      </c>
    </row>
    <row r="63" customFormat="false" ht="15" hidden="false" customHeight="false" outlineLevel="0" collapsed="false">
      <c r="A63" s="11" t="s">
        <v>78</v>
      </c>
      <c r="B63" s="51" t="n">
        <v>5</v>
      </c>
      <c r="C63" s="59" t="n">
        <f aca="false">B63/329</f>
        <v>0.0151975683890578</v>
      </c>
    </row>
    <row r="64" customFormat="false" ht="15" hidden="false" customHeight="false" outlineLevel="0" collapsed="false">
      <c r="A64" s="11" t="s">
        <v>80</v>
      </c>
      <c r="B64" s="51" t="n">
        <v>3</v>
      </c>
      <c r="C64" s="59" t="n">
        <f aca="false">B64/329</f>
        <v>0.00911854103343465</v>
      </c>
    </row>
    <row r="65" customFormat="false" ht="15" hidden="false" customHeight="false" outlineLevel="0" collapsed="false">
      <c r="A65" s="11" t="s">
        <v>86</v>
      </c>
      <c r="B65" s="51" t="n">
        <v>1</v>
      </c>
      <c r="C65" s="59" t="n">
        <f aca="false">B65/329</f>
        <v>0.00303951367781155</v>
      </c>
    </row>
    <row r="66" customFormat="false" ht="15" hidden="false" customHeight="false" outlineLevel="0" collapsed="false">
      <c r="A66" s="11" t="s">
        <v>85</v>
      </c>
      <c r="B66" s="51" t="n">
        <v>1</v>
      </c>
      <c r="C66" s="59" t="n">
        <f aca="false">B66/329</f>
        <v>0.00303951367781155</v>
      </c>
    </row>
    <row r="67" customFormat="false" ht="15" hidden="false" customHeight="false" outlineLevel="0" collapsed="false">
      <c r="A67" s="11" t="s">
        <v>77</v>
      </c>
      <c r="B67" s="51" t="n">
        <v>1</v>
      </c>
      <c r="C67" s="59" t="n">
        <f aca="false">B67/329</f>
        <v>0.00303951367781155</v>
      </c>
    </row>
    <row r="68" customFormat="false" ht="15" hidden="false" customHeight="false" outlineLevel="0" collapsed="false">
      <c r="A68" s="11" t="s">
        <v>79</v>
      </c>
      <c r="B68" s="51" t="n">
        <v>1</v>
      </c>
      <c r="C68" s="59" t="n">
        <f aca="false">B68/329</f>
        <v>0.00303951367781155</v>
      </c>
    </row>
    <row r="69" customFormat="false" ht="15" hidden="false" customHeight="false" outlineLevel="0" collapsed="false">
      <c r="A69" s="11" t="s">
        <v>82</v>
      </c>
      <c r="B69" s="51" t="n">
        <v>1</v>
      </c>
      <c r="C69" s="59" t="n">
        <f aca="false">B69/329</f>
        <v>0.00303951367781155</v>
      </c>
    </row>
    <row r="70" customFormat="false" ht="15" hidden="false" customHeight="false" outlineLevel="0" collapsed="false">
      <c r="A70" s="11" t="s">
        <v>81</v>
      </c>
      <c r="B70" s="51" t="n">
        <v>1</v>
      </c>
      <c r="C70" s="59" t="n">
        <f aca="false">B70/329</f>
        <v>0.00303951367781155</v>
      </c>
    </row>
    <row r="73" customFormat="false" ht="19.4" hidden="false" customHeight="false" outlineLevel="0" collapsed="false">
      <c r="A73" s="46" t="s">
        <v>188</v>
      </c>
      <c r="B73" s="46"/>
      <c r="C73" s="46"/>
      <c r="D73" s="46"/>
      <c r="E73" s="46"/>
      <c r="F73" s="46"/>
    </row>
    <row r="74" customFormat="false" ht="42" hidden="false" customHeight="true" outlineLevel="0" collapsed="false">
      <c r="A74" s="60" t="s">
        <v>189</v>
      </c>
      <c r="B74" s="61" t="s">
        <v>260</v>
      </c>
      <c r="C74" s="61"/>
      <c r="D74" s="61"/>
      <c r="E74" s="61"/>
      <c r="F74" s="61"/>
    </row>
    <row r="75" customFormat="false" ht="42" hidden="false" customHeight="true" outlineLevel="0" collapsed="false">
      <c r="A75" s="60" t="s">
        <v>200</v>
      </c>
      <c r="B75" s="61" t="s">
        <v>261</v>
      </c>
      <c r="C75" s="61"/>
      <c r="D75" s="61"/>
      <c r="E75" s="61"/>
      <c r="F75" s="61"/>
    </row>
    <row r="76" customFormat="false" ht="42" hidden="false" customHeight="true" outlineLevel="0" collapsed="false">
      <c r="A76" s="60" t="s">
        <v>189</v>
      </c>
      <c r="B76" s="61" t="s">
        <v>262</v>
      </c>
      <c r="C76" s="61"/>
      <c r="D76" s="61"/>
      <c r="E76" s="61"/>
      <c r="F76" s="61"/>
    </row>
    <row r="77" customFormat="false" ht="42" hidden="false" customHeight="true" outlineLevel="0" collapsed="false">
      <c r="A77" s="60" t="s">
        <v>189</v>
      </c>
      <c r="B77" s="61" t="s">
        <v>263</v>
      </c>
      <c r="C77" s="61"/>
      <c r="D77" s="61"/>
      <c r="E77" s="61"/>
      <c r="F77" s="61"/>
    </row>
    <row r="78" customFormat="false" ht="42" hidden="false" customHeight="true" outlineLevel="0" collapsed="false">
      <c r="A78" s="60" t="s">
        <v>189</v>
      </c>
      <c r="B78" s="61" t="s">
        <v>264</v>
      </c>
      <c r="C78" s="61"/>
      <c r="D78" s="61"/>
      <c r="E78" s="61"/>
      <c r="F78" s="61"/>
    </row>
  </sheetData>
  <mergeCells count="13">
    <mergeCell ref="A1:F1"/>
    <mergeCell ref="A2:F2"/>
    <mergeCell ref="A4:F4"/>
    <mergeCell ref="A20:F20"/>
    <mergeCell ref="A37:F37"/>
    <mergeCell ref="A53:F53"/>
    <mergeCell ref="A59:F59"/>
    <mergeCell ref="A73:F73"/>
    <mergeCell ref="B74:F74"/>
    <mergeCell ref="B75:F75"/>
    <mergeCell ref="B76:F76"/>
    <mergeCell ref="B77:F77"/>
    <mergeCell ref="B78:F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35" t="s">
        <v>265</v>
      </c>
      <c r="B1" s="35"/>
      <c r="C1" s="35"/>
      <c r="D1" s="35"/>
      <c r="E1" s="35"/>
      <c r="F1" s="35"/>
    </row>
    <row r="2" customFormat="false" ht="15" hidden="false" customHeight="false" outlineLevel="0" collapsed="false">
      <c r="A2" s="2" t="s">
        <v>266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46" t="s">
        <v>137</v>
      </c>
      <c r="B4" s="46"/>
      <c r="C4" s="46"/>
      <c r="D4" s="46"/>
      <c r="E4" s="46"/>
      <c r="F4" s="46"/>
    </row>
    <row r="5" customFormat="false" ht="30.55" hidden="false" customHeight="false" outlineLevel="0" collapsed="false">
      <c r="A5" s="4" t="s">
        <v>138</v>
      </c>
      <c r="B5" s="5" t="s">
        <v>139</v>
      </c>
      <c r="D5" s="4" t="s">
        <v>140</v>
      </c>
      <c r="E5" s="5" t="s">
        <v>139</v>
      </c>
    </row>
    <row r="6" customFormat="false" ht="15" hidden="false" customHeight="false" outlineLevel="0" collapsed="false">
      <c r="A6" s="39" t="s">
        <v>46</v>
      </c>
      <c r="B6" s="47" t="n">
        <v>73</v>
      </c>
      <c r="D6" s="41" t="s">
        <v>64</v>
      </c>
      <c r="E6" s="48" t="n">
        <v>13</v>
      </c>
    </row>
    <row r="7" customFormat="false" ht="15" hidden="false" customHeight="false" outlineLevel="0" collapsed="false">
      <c r="A7" s="39" t="s">
        <v>49</v>
      </c>
      <c r="B7" s="47" t="n">
        <v>56</v>
      </c>
      <c r="D7" s="41" t="s">
        <v>63</v>
      </c>
      <c r="E7" s="48" t="n">
        <v>3</v>
      </c>
    </row>
    <row r="8" customFormat="false" ht="15" hidden="false" customHeight="false" outlineLevel="0" collapsed="false">
      <c r="A8" s="39" t="s">
        <v>47</v>
      </c>
      <c r="B8" s="47" t="n">
        <v>54</v>
      </c>
      <c r="D8" s="41" t="s">
        <v>62</v>
      </c>
      <c r="E8" s="48" t="n">
        <v>2</v>
      </c>
    </row>
    <row r="9" customFormat="false" ht="15" hidden="false" customHeight="false" outlineLevel="0" collapsed="false">
      <c r="A9" s="39" t="s">
        <v>50</v>
      </c>
      <c r="B9" s="47" t="n">
        <v>40</v>
      </c>
    </row>
    <row r="10" customFormat="false" ht="15" hidden="false" customHeight="false" outlineLevel="0" collapsed="false">
      <c r="A10" s="39" t="s">
        <v>48</v>
      </c>
      <c r="B10" s="47" t="n">
        <v>29</v>
      </c>
    </row>
    <row r="11" customFormat="false" ht="15" hidden="false" customHeight="false" outlineLevel="0" collapsed="false">
      <c r="A11" s="39" t="s">
        <v>54</v>
      </c>
      <c r="B11" s="47" t="n">
        <v>26</v>
      </c>
    </row>
    <row r="12" customFormat="false" ht="15" hidden="false" customHeight="false" outlineLevel="0" collapsed="false">
      <c r="A12" s="39" t="s">
        <v>51</v>
      </c>
      <c r="B12" s="47" t="n">
        <v>20</v>
      </c>
    </row>
    <row r="13" customFormat="false" ht="15" hidden="false" customHeight="false" outlineLevel="0" collapsed="false">
      <c r="A13" s="39" t="s">
        <v>127</v>
      </c>
      <c r="B13" s="47" t="n">
        <v>19</v>
      </c>
    </row>
    <row r="14" customFormat="false" ht="15" hidden="false" customHeight="false" outlineLevel="0" collapsed="false">
      <c r="A14" s="39" t="s">
        <v>96</v>
      </c>
      <c r="B14" s="47" t="n">
        <v>17</v>
      </c>
    </row>
    <row r="15" customFormat="false" ht="15" hidden="false" customHeight="false" outlineLevel="0" collapsed="false">
      <c r="A15" s="39" t="s">
        <v>52</v>
      </c>
      <c r="B15" s="47" t="n">
        <v>17</v>
      </c>
    </row>
    <row r="16" customFormat="false" ht="15" hidden="false" customHeight="false" outlineLevel="0" collapsed="false">
      <c r="A16" s="39" t="s">
        <v>53</v>
      </c>
      <c r="B16" s="47" t="n">
        <v>16</v>
      </c>
    </row>
    <row r="17" customFormat="false" ht="15" hidden="false" customHeight="false" outlineLevel="0" collapsed="false">
      <c r="A17" s="39" t="s">
        <v>59</v>
      </c>
      <c r="B17" s="47" t="n">
        <v>14</v>
      </c>
    </row>
    <row r="20" customFormat="false" ht="15" hidden="false" customHeight="false" outlineLevel="0" collapsed="false">
      <c r="A20" s="46" t="s">
        <v>141</v>
      </c>
      <c r="B20" s="46"/>
      <c r="C20" s="46"/>
      <c r="D20" s="46"/>
      <c r="E20" s="46"/>
      <c r="F20" s="46"/>
    </row>
    <row r="21" customFormat="false" ht="17.15" hidden="false" customHeight="false" outlineLevel="0" collapsed="false">
      <c r="A21" s="5" t="s">
        <v>142</v>
      </c>
      <c r="B21" s="5" t="s">
        <v>143</v>
      </c>
      <c r="C21" s="5" t="s">
        <v>144</v>
      </c>
      <c r="D21" s="5" t="s">
        <v>145</v>
      </c>
      <c r="E21" s="5" t="s">
        <v>146</v>
      </c>
    </row>
    <row r="22" customFormat="false" ht="26.85" hidden="false" customHeight="false" outlineLevel="0" collapsed="false">
      <c r="A22" s="7" t="s">
        <v>147</v>
      </c>
      <c r="B22" s="7" t="s">
        <v>148</v>
      </c>
      <c r="C22" s="7" t="s">
        <v>150</v>
      </c>
      <c r="D22" s="49" t="n">
        <v>39</v>
      </c>
      <c r="E22" s="50" t="n">
        <v>0.44</v>
      </c>
    </row>
    <row r="23" customFormat="false" ht="26.85" hidden="false" customHeight="false" outlineLevel="0" collapsed="false">
      <c r="A23" s="11" t="s">
        <v>147</v>
      </c>
      <c r="B23" s="11" t="s">
        <v>148</v>
      </c>
      <c r="C23" s="11" t="s">
        <v>149</v>
      </c>
      <c r="D23" s="51" t="n">
        <v>27</v>
      </c>
      <c r="E23" s="52" t="n">
        <v>0.31</v>
      </c>
    </row>
    <row r="24" customFormat="false" ht="26.85" hidden="false" customHeight="false" outlineLevel="0" collapsed="false">
      <c r="A24" s="7" t="s">
        <v>147</v>
      </c>
      <c r="B24" s="7" t="s">
        <v>148</v>
      </c>
      <c r="C24" s="7" t="s">
        <v>151</v>
      </c>
      <c r="D24" s="49" t="n">
        <v>18</v>
      </c>
      <c r="E24" s="50" t="n">
        <v>0.2</v>
      </c>
    </row>
    <row r="25" customFormat="false" ht="26.85" hidden="false" customHeight="false" outlineLevel="0" collapsed="false">
      <c r="A25" s="11" t="s">
        <v>147</v>
      </c>
      <c r="B25" s="11" t="s">
        <v>148</v>
      </c>
      <c r="C25" s="11" t="s">
        <v>152</v>
      </c>
      <c r="D25" s="51" t="n">
        <v>3</v>
      </c>
      <c r="E25" s="52" t="n">
        <v>0.03</v>
      </c>
    </row>
    <row r="26" customFormat="false" ht="15" hidden="false" customHeight="false" outlineLevel="0" collapsed="false">
      <c r="A26" s="7" t="s">
        <v>153</v>
      </c>
      <c r="B26" s="7" t="s">
        <v>154</v>
      </c>
      <c r="C26" s="53" t="s">
        <v>155</v>
      </c>
      <c r="D26" s="49" t="n">
        <v>375</v>
      </c>
      <c r="E26" s="54" t="n">
        <v>0.77</v>
      </c>
    </row>
    <row r="27" customFormat="false" ht="15" hidden="false" customHeight="false" outlineLevel="0" collapsed="false">
      <c r="A27" s="11" t="s">
        <v>153</v>
      </c>
      <c r="B27" s="11" t="s">
        <v>154</v>
      </c>
      <c r="C27" s="11" t="s">
        <v>156</v>
      </c>
      <c r="D27" s="51" t="n">
        <v>105</v>
      </c>
      <c r="E27" s="52" t="n">
        <v>0.21</v>
      </c>
    </row>
    <row r="28" customFormat="false" ht="15" hidden="false" customHeight="false" outlineLevel="0" collapsed="false">
      <c r="A28" s="7" t="s">
        <v>153</v>
      </c>
      <c r="B28" s="7" t="s">
        <v>154</v>
      </c>
      <c r="C28" s="7" t="s">
        <v>157</v>
      </c>
      <c r="D28" s="49" t="n">
        <v>6</v>
      </c>
      <c r="E28" s="50" t="n">
        <v>0.01</v>
      </c>
    </row>
    <row r="29" customFormat="false" ht="15" hidden="false" customHeight="false" outlineLevel="0" collapsed="false">
      <c r="A29" s="11" t="s">
        <v>158</v>
      </c>
      <c r="B29" s="11" t="s">
        <v>159</v>
      </c>
      <c r="C29" s="55" t="s">
        <v>160</v>
      </c>
      <c r="D29" s="51" t="n">
        <v>378</v>
      </c>
      <c r="E29" s="56" t="n">
        <v>0.77</v>
      </c>
    </row>
    <row r="30" customFormat="false" ht="15" hidden="false" customHeight="false" outlineLevel="0" collapsed="false">
      <c r="A30" s="7" t="s">
        <v>158</v>
      </c>
      <c r="B30" s="7" t="s">
        <v>159</v>
      </c>
      <c r="C30" s="7" t="s">
        <v>156</v>
      </c>
      <c r="D30" s="49" t="n">
        <v>108</v>
      </c>
      <c r="E30" s="50" t="n">
        <v>0.22</v>
      </c>
    </row>
    <row r="31" customFormat="false" ht="15" hidden="false" customHeight="false" outlineLevel="0" collapsed="false">
      <c r="A31" s="11" t="s">
        <v>158</v>
      </c>
      <c r="B31" s="11" t="s">
        <v>159</v>
      </c>
      <c r="C31" s="11" t="s">
        <v>161</v>
      </c>
      <c r="D31" s="51" t="n">
        <v>0</v>
      </c>
      <c r="E31" s="52" t="n">
        <v>0</v>
      </c>
    </row>
    <row r="34" customFormat="false" ht="19.4" hidden="false" customHeight="false" outlineLevel="0" collapsed="false">
      <c r="A34" s="46" t="s">
        <v>167</v>
      </c>
      <c r="B34" s="46"/>
      <c r="C34" s="46"/>
      <c r="D34" s="46"/>
      <c r="E34" s="46"/>
      <c r="F34" s="46"/>
    </row>
    <row r="35" customFormat="false" ht="17.15" hidden="false" customHeight="false" outlineLevel="0" collapsed="false">
      <c r="A35" s="5" t="s">
        <v>168</v>
      </c>
      <c r="B35" s="5" t="s">
        <v>169</v>
      </c>
      <c r="C35" s="5" t="s">
        <v>170</v>
      </c>
      <c r="D35" s="5" t="s">
        <v>171</v>
      </c>
      <c r="E35" s="5" t="s">
        <v>172</v>
      </c>
    </row>
    <row r="36" customFormat="false" ht="15" hidden="false" customHeight="false" outlineLevel="0" collapsed="false">
      <c r="A36" s="55" t="s">
        <v>49</v>
      </c>
      <c r="B36" s="58" t="s">
        <v>174</v>
      </c>
      <c r="C36" s="51" t="n">
        <v>56</v>
      </c>
      <c r="D36" s="57" t="n">
        <v>43</v>
      </c>
      <c r="E36" s="57" t="n">
        <v>0</v>
      </c>
    </row>
    <row r="37" customFormat="false" ht="15" hidden="false" customHeight="false" outlineLevel="0" collapsed="false">
      <c r="A37" s="55" t="s">
        <v>47</v>
      </c>
      <c r="B37" s="58" t="s">
        <v>174</v>
      </c>
      <c r="C37" s="51" t="n">
        <v>53</v>
      </c>
      <c r="D37" s="57" t="n">
        <v>40.7</v>
      </c>
      <c r="E37" s="57" t="n">
        <v>0</v>
      </c>
    </row>
    <row r="38" customFormat="false" ht="15" hidden="false" customHeight="false" outlineLevel="0" collapsed="false">
      <c r="A38" s="55" t="s">
        <v>90</v>
      </c>
      <c r="B38" s="11" t="s">
        <v>173</v>
      </c>
      <c r="C38" s="51" t="n">
        <v>51</v>
      </c>
      <c r="D38" s="57" t="n">
        <v>39.2</v>
      </c>
      <c r="E38" s="57" t="n">
        <v>0</v>
      </c>
    </row>
    <row r="39" customFormat="false" ht="15" hidden="false" customHeight="false" outlineLevel="0" collapsed="false">
      <c r="A39" s="55" t="s">
        <v>50</v>
      </c>
      <c r="B39" s="58" t="s">
        <v>174</v>
      </c>
      <c r="C39" s="51" t="n">
        <v>40</v>
      </c>
      <c r="D39" s="57" t="n">
        <v>30.7</v>
      </c>
      <c r="E39" s="57" t="n">
        <v>0</v>
      </c>
    </row>
    <row r="40" customFormat="false" ht="15" hidden="false" customHeight="false" outlineLevel="0" collapsed="false">
      <c r="A40" s="55" t="s">
        <v>267</v>
      </c>
      <c r="B40" s="11" t="s">
        <v>173</v>
      </c>
      <c r="C40" s="51" t="n">
        <v>39</v>
      </c>
      <c r="D40" s="57" t="n">
        <v>30</v>
      </c>
      <c r="E40" s="57" t="n">
        <v>0</v>
      </c>
    </row>
    <row r="41" customFormat="false" ht="15" hidden="false" customHeight="false" outlineLevel="0" collapsed="false">
      <c r="A41" s="55" t="s">
        <v>268</v>
      </c>
      <c r="B41" s="11" t="s">
        <v>173</v>
      </c>
      <c r="C41" s="51" t="n">
        <v>32</v>
      </c>
      <c r="D41" s="57" t="n">
        <v>24.6</v>
      </c>
      <c r="E41" s="57" t="n">
        <v>0</v>
      </c>
    </row>
    <row r="42" customFormat="false" ht="15" hidden="false" customHeight="false" outlineLevel="0" collapsed="false">
      <c r="A42" s="55" t="s">
        <v>91</v>
      </c>
      <c r="B42" s="11" t="s">
        <v>173</v>
      </c>
      <c r="C42" s="51" t="n">
        <v>30</v>
      </c>
      <c r="D42" s="57" t="n">
        <v>23</v>
      </c>
      <c r="E42" s="57" t="n">
        <v>0</v>
      </c>
    </row>
    <row r="43" customFormat="false" ht="15" hidden="false" customHeight="false" outlineLevel="0" collapsed="false">
      <c r="A43" s="55" t="s">
        <v>180</v>
      </c>
      <c r="B43" s="11" t="s">
        <v>173</v>
      </c>
      <c r="C43" s="51" t="n">
        <v>26</v>
      </c>
      <c r="D43" s="57" t="n">
        <v>20</v>
      </c>
      <c r="E43" s="57" t="n">
        <v>0</v>
      </c>
    </row>
    <row r="44" customFormat="false" ht="15" hidden="false" customHeight="false" outlineLevel="0" collapsed="false">
      <c r="A44" s="55" t="s">
        <v>94</v>
      </c>
      <c r="B44" s="11" t="s">
        <v>173</v>
      </c>
      <c r="C44" s="51" t="n">
        <v>20</v>
      </c>
      <c r="D44" s="57" t="n">
        <v>15.4</v>
      </c>
      <c r="E44" s="57" t="n">
        <v>0</v>
      </c>
    </row>
    <row r="45" customFormat="false" ht="15" hidden="false" customHeight="false" outlineLevel="0" collapsed="false">
      <c r="A45" s="55" t="s">
        <v>127</v>
      </c>
      <c r="B45" s="58" t="s">
        <v>174</v>
      </c>
      <c r="C45" s="51" t="n">
        <v>19</v>
      </c>
      <c r="D45" s="57" t="n">
        <v>14.6</v>
      </c>
      <c r="E45" s="57" t="n">
        <v>0</v>
      </c>
    </row>
    <row r="46" customFormat="false" ht="15" hidden="false" customHeight="false" outlineLevel="0" collapsed="false">
      <c r="A46" s="55" t="s">
        <v>51</v>
      </c>
      <c r="B46" s="58" t="s">
        <v>174</v>
      </c>
      <c r="C46" s="51" t="n">
        <v>18</v>
      </c>
      <c r="D46" s="57" t="n">
        <v>13.8</v>
      </c>
      <c r="E46" s="57" t="n">
        <v>0</v>
      </c>
    </row>
    <row r="47" customFormat="false" ht="15" hidden="false" customHeight="false" outlineLevel="0" collapsed="false">
      <c r="A47" s="55" t="s">
        <v>96</v>
      </c>
      <c r="B47" s="58" t="s">
        <v>174</v>
      </c>
      <c r="C47" s="51" t="n">
        <v>16</v>
      </c>
      <c r="D47" s="57" t="n">
        <v>12.3</v>
      </c>
      <c r="E47" s="57" t="n">
        <v>0</v>
      </c>
    </row>
    <row r="48" customFormat="false" ht="15" hidden="false" customHeight="false" outlineLevel="0" collapsed="false">
      <c r="A48" s="55" t="s">
        <v>59</v>
      </c>
      <c r="B48" s="58" t="s">
        <v>174</v>
      </c>
      <c r="C48" s="51" t="n">
        <v>14</v>
      </c>
      <c r="D48" s="57" t="n">
        <v>10.8</v>
      </c>
      <c r="E48" s="57" t="n">
        <v>0</v>
      </c>
    </row>
    <row r="49" customFormat="false" ht="15" hidden="false" customHeight="false" outlineLevel="0" collapsed="false">
      <c r="A49" s="55" t="s">
        <v>53</v>
      </c>
      <c r="B49" s="58" t="s">
        <v>174</v>
      </c>
      <c r="C49" s="51" t="n">
        <v>14</v>
      </c>
      <c r="D49" s="57" t="n">
        <v>10.8</v>
      </c>
      <c r="E49" s="57" t="n">
        <v>0</v>
      </c>
    </row>
    <row r="50" customFormat="false" ht="15" hidden="false" customHeight="false" outlineLevel="0" collapsed="false">
      <c r="A50" s="55" t="s">
        <v>269</v>
      </c>
      <c r="B50" s="11" t="s">
        <v>173</v>
      </c>
      <c r="C50" s="51" t="n">
        <v>13</v>
      </c>
      <c r="D50" s="57" t="n">
        <v>10</v>
      </c>
      <c r="E50" s="57" t="n">
        <v>0</v>
      </c>
    </row>
    <row r="53" customFormat="false" ht="15" hidden="false" customHeight="false" outlineLevel="0" collapsed="false">
      <c r="A53" s="46" t="s">
        <v>182</v>
      </c>
      <c r="B53" s="46"/>
      <c r="C53" s="46"/>
      <c r="D53" s="46"/>
      <c r="E53" s="46"/>
      <c r="F53" s="46"/>
    </row>
    <row r="54" customFormat="false" ht="17.15" hidden="false" customHeight="false" outlineLevel="0" collapsed="false">
      <c r="A54" s="5" t="s">
        <v>183</v>
      </c>
      <c r="B54" s="5" t="s">
        <v>184</v>
      </c>
      <c r="C54" s="5" t="s">
        <v>185</v>
      </c>
    </row>
    <row r="55" customFormat="false" ht="15" hidden="false" customHeight="false" outlineLevel="0" collapsed="false">
      <c r="A55" s="11" t="s">
        <v>52</v>
      </c>
      <c r="B55" s="51" t="n">
        <v>10</v>
      </c>
      <c r="C55" s="59" t="n">
        <f aca="false">B55/182</f>
        <v>0.0549450549450549</v>
      </c>
    </row>
    <row r="56" customFormat="false" ht="15" hidden="false" customHeight="false" outlineLevel="0" collapsed="false">
      <c r="A56" s="11" t="s">
        <v>96</v>
      </c>
      <c r="B56" s="51" t="n">
        <v>7</v>
      </c>
      <c r="C56" s="59" t="n">
        <f aca="false">B56/182</f>
        <v>0.0384615384615385</v>
      </c>
    </row>
    <row r="57" customFormat="false" ht="15" hidden="false" customHeight="false" outlineLevel="0" collapsed="false">
      <c r="A57" s="11" t="s">
        <v>50</v>
      </c>
      <c r="B57" s="51" t="n">
        <v>3</v>
      </c>
      <c r="C57" s="59" t="n">
        <f aca="false">B57/182</f>
        <v>0.0164835164835165</v>
      </c>
    </row>
    <row r="58" customFormat="false" ht="15" hidden="false" customHeight="false" outlineLevel="0" collapsed="false">
      <c r="A58" s="11" t="s">
        <v>97</v>
      </c>
      <c r="B58" s="51" t="n">
        <v>3</v>
      </c>
      <c r="C58" s="59" t="n">
        <f aca="false">B58/182</f>
        <v>0.0164835164835165</v>
      </c>
    </row>
    <row r="61" customFormat="false" ht="19.4" hidden="false" customHeight="false" outlineLevel="0" collapsed="false">
      <c r="A61" s="46" t="s">
        <v>186</v>
      </c>
      <c r="B61" s="46"/>
      <c r="C61" s="46"/>
      <c r="D61" s="46"/>
      <c r="E61" s="46"/>
      <c r="F61" s="46"/>
    </row>
    <row r="62" customFormat="false" ht="17.15" hidden="false" customHeight="false" outlineLevel="0" collapsed="false">
      <c r="A62" s="5" t="s">
        <v>187</v>
      </c>
      <c r="B62" s="5" t="s">
        <v>184</v>
      </c>
      <c r="C62" s="5" t="s">
        <v>185</v>
      </c>
    </row>
    <row r="63" customFormat="false" ht="15" hidden="false" customHeight="false" outlineLevel="0" collapsed="false">
      <c r="A63" s="11" t="s">
        <v>76</v>
      </c>
      <c r="B63" s="51" t="n">
        <v>15</v>
      </c>
      <c r="C63" s="59" t="n">
        <f aca="false">B63/182</f>
        <v>0.0824175824175824</v>
      </c>
    </row>
    <row r="64" customFormat="false" ht="15" hidden="false" customHeight="false" outlineLevel="0" collapsed="false">
      <c r="A64" s="11" t="s">
        <v>75</v>
      </c>
      <c r="B64" s="51" t="n">
        <v>12</v>
      </c>
      <c r="C64" s="59" t="n">
        <f aca="false">B64/182</f>
        <v>0.0659340659340659</v>
      </c>
    </row>
    <row r="65" customFormat="false" ht="15" hidden="false" customHeight="false" outlineLevel="0" collapsed="false">
      <c r="A65" s="11" t="s">
        <v>84</v>
      </c>
      <c r="B65" s="51" t="n">
        <v>3</v>
      </c>
      <c r="C65" s="59" t="n">
        <f aca="false">B65/182</f>
        <v>0.0164835164835165</v>
      </c>
    </row>
    <row r="66" customFormat="false" ht="15" hidden="false" customHeight="false" outlineLevel="0" collapsed="false">
      <c r="A66" s="11" t="s">
        <v>77</v>
      </c>
      <c r="B66" s="51" t="n">
        <v>2</v>
      </c>
      <c r="C66" s="59" t="n">
        <f aca="false">B66/182</f>
        <v>0.010989010989011</v>
      </c>
    </row>
    <row r="67" customFormat="false" ht="15" hidden="false" customHeight="false" outlineLevel="0" collapsed="false">
      <c r="A67" s="11" t="s">
        <v>82</v>
      </c>
      <c r="B67" s="51" t="n">
        <v>1</v>
      </c>
      <c r="C67" s="59" t="n">
        <f aca="false">B67/182</f>
        <v>0.0054945054945055</v>
      </c>
    </row>
    <row r="68" customFormat="false" ht="15" hidden="false" customHeight="false" outlineLevel="0" collapsed="false">
      <c r="A68" s="11" t="s">
        <v>81</v>
      </c>
      <c r="B68" s="51" t="n">
        <v>1</v>
      </c>
      <c r="C68" s="59" t="n">
        <f aca="false">B68/182</f>
        <v>0.0054945054945055</v>
      </c>
    </row>
    <row r="69" customFormat="false" ht="15" hidden="false" customHeight="false" outlineLevel="0" collapsed="false">
      <c r="A69" s="11" t="s">
        <v>78</v>
      </c>
      <c r="B69" s="51" t="n">
        <v>1</v>
      </c>
      <c r="C69" s="59" t="n">
        <f aca="false">B69/182</f>
        <v>0.0054945054945055</v>
      </c>
    </row>
    <row r="72" customFormat="false" ht="19.4" hidden="false" customHeight="false" outlineLevel="0" collapsed="false">
      <c r="A72" s="46" t="s">
        <v>188</v>
      </c>
      <c r="B72" s="46"/>
      <c r="C72" s="46"/>
      <c r="D72" s="46"/>
      <c r="E72" s="46"/>
      <c r="F72" s="46"/>
    </row>
    <row r="73" customFormat="false" ht="42" hidden="false" customHeight="true" outlineLevel="0" collapsed="false">
      <c r="A73" s="60" t="s">
        <v>199</v>
      </c>
      <c r="B73" s="61"/>
      <c r="C73" s="61"/>
      <c r="D73" s="61"/>
      <c r="E73" s="61"/>
      <c r="F73" s="61"/>
    </row>
    <row r="74" customFormat="false" ht="42" hidden="false" customHeight="true" outlineLevel="0" collapsed="false">
      <c r="A74" s="60" t="s">
        <v>189</v>
      </c>
      <c r="B74" s="61" t="s">
        <v>270</v>
      </c>
      <c r="C74" s="61"/>
      <c r="D74" s="61"/>
      <c r="E74" s="61"/>
      <c r="F74" s="61"/>
    </row>
    <row r="75" customFormat="false" ht="42" hidden="false" customHeight="true" outlineLevel="0" collapsed="false">
      <c r="A75" s="60" t="s">
        <v>189</v>
      </c>
      <c r="B75" s="61" t="s">
        <v>271</v>
      </c>
      <c r="C75" s="61"/>
      <c r="D75" s="61"/>
      <c r="E75" s="61"/>
      <c r="F75" s="61"/>
    </row>
    <row r="76" customFormat="false" ht="42" hidden="false" customHeight="true" outlineLevel="0" collapsed="false">
      <c r="A76" s="60" t="s">
        <v>200</v>
      </c>
      <c r="B76" s="61" t="s">
        <v>272</v>
      </c>
      <c r="C76" s="61"/>
      <c r="D76" s="61"/>
      <c r="E76" s="61"/>
      <c r="F76" s="61"/>
    </row>
    <row r="77" customFormat="false" ht="42" hidden="false" customHeight="true" outlineLevel="0" collapsed="false">
      <c r="A77" s="60" t="s">
        <v>189</v>
      </c>
      <c r="B77" s="61" t="s">
        <v>273</v>
      </c>
      <c r="C77" s="61"/>
      <c r="D77" s="61"/>
      <c r="E77" s="61"/>
      <c r="F77" s="61"/>
    </row>
  </sheetData>
  <mergeCells count="13">
    <mergeCell ref="A1:F1"/>
    <mergeCell ref="A2:F2"/>
    <mergeCell ref="A4:F4"/>
    <mergeCell ref="A20:F20"/>
    <mergeCell ref="A34:F34"/>
    <mergeCell ref="A53:F53"/>
    <mergeCell ref="A61:F61"/>
    <mergeCell ref="A72:F72"/>
    <mergeCell ref="B73:F73"/>
    <mergeCell ref="B74:F74"/>
    <mergeCell ref="B75:F75"/>
    <mergeCell ref="B76:F76"/>
    <mergeCell ref="B77:F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35" t="s">
        <v>274</v>
      </c>
      <c r="B1" s="35"/>
      <c r="C1" s="35"/>
      <c r="D1" s="35"/>
      <c r="E1" s="35"/>
      <c r="F1" s="35"/>
    </row>
    <row r="2" customFormat="false" ht="15" hidden="false" customHeight="false" outlineLevel="0" collapsed="false">
      <c r="A2" s="2" t="s">
        <v>275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46" t="s">
        <v>137</v>
      </c>
      <c r="B4" s="46"/>
      <c r="C4" s="46"/>
      <c r="D4" s="46"/>
      <c r="E4" s="46"/>
      <c r="F4" s="46"/>
    </row>
    <row r="5" customFormat="false" ht="30.55" hidden="false" customHeight="false" outlineLevel="0" collapsed="false">
      <c r="A5" s="4" t="s">
        <v>138</v>
      </c>
      <c r="B5" s="5" t="s">
        <v>139</v>
      </c>
      <c r="D5" s="4" t="s">
        <v>140</v>
      </c>
      <c r="E5" s="5" t="s">
        <v>139</v>
      </c>
    </row>
    <row r="6" customFormat="false" ht="15" hidden="false" customHeight="false" outlineLevel="0" collapsed="false">
      <c r="A6" s="39" t="s">
        <v>55</v>
      </c>
      <c r="B6" s="47" t="n">
        <v>78</v>
      </c>
      <c r="D6" s="41" t="s">
        <v>64</v>
      </c>
      <c r="E6" s="48" t="n">
        <v>29</v>
      </c>
    </row>
    <row r="7" customFormat="false" ht="15" hidden="false" customHeight="false" outlineLevel="0" collapsed="false">
      <c r="A7" s="39" t="s">
        <v>46</v>
      </c>
      <c r="B7" s="47" t="n">
        <v>77</v>
      </c>
      <c r="D7" s="41" t="s">
        <v>62</v>
      </c>
      <c r="E7" s="48" t="n">
        <v>21</v>
      </c>
    </row>
    <row r="8" customFormat="false" ht="15" hidden="false" customHeight="false" outlineLevel="0" collapsed="false">
      <c r="A8" s="39" t="s">
        <v>47</v>
      </c>
      <c r="B8" s="47" t="n">
        <v>29</v>
      </c>
      <c r="D8" s="41" t="s">
        <v>68</v>
      </c>
      <c r="E8" s="48" t="n">
        <v>18</v>
      </c>
    </row>
    <row r="9" customFormat="false" ht="15" hidden="false" customHeight="false" outlineLevel="0" collapsed="false">
      <c r="A9" s="39" t="s">
        <v>125</v>
      </c>
      <c r="B9" s="47" t="n">
        <v>18</v>
      </c>
      <c r="D9" s="41" t="s">
        <v>63</v>
      </c>
      <c r="E9" s="48" t="n">
        <v>12</v>
      </c>
    </row>
    <row r="10" customFormat="false" ht="15" hidden="false" customHeight="false" outlineLevel="0" collapsed="false">
      <c r="A10" s="39" t="s">
        <v>48</v>
      </c>
      <c r="B10" s="47" t="n">
        <v>17</v>
      </c>
      <c r="D10" s="41" t="s">
        <v>65</v>
      </c>
      <c r="E10" s="48" t="n">
        <v>3</v>
      </c>
    </row>
    <row r="11" customFormat="false" ht="15" hidden="false" customHeight="false" outlineLevel="0" collapsed="false">
      <c r="A11" s="39" t="s">
        <v>52</v>
      </c>
      <c r="B11" s="47" t="n">
        <v>12</v>
      </c>
      <c r="D11" s="41" t="s">
        <v>73</v>
      </c>
      <c r="E11" s="48" t="n">
        <v>3</v>
      </c>
    </row>
    <row r="12" customFormat="false" ht="15" hidden="false" customHeight="false" outlineLevel="0" collapsed="false">
      <c r="A12" s="39" t="s">
        <v>51</v>
      </c>
      <c r="B12" s="47" t="n">
        <v>11</v>
      </c>
      <c r="D12" s="41" t="s">
        <v>67</v>
      </c>
      <c r="E12" s="48" t="n">
        <v>2</v>
      </c>
    </row>
    <row r="13" customFormat="false" ht="15" hidden="false" customHeight="false" outlineLevel="0" collapsed="false">
      <c r="A13" s="39" t="s">
        <v>50</v>
      </c>
      <c r="B13" s="47" t="n">
        <v>10</v>
      </c>
      <c r="D13" s="41" t="s">
        <v>276</v>
      </c>
      <c r="E13" s="48" t="n">
        <v>1</v>
      </c>
    </row>
    <row r="14" customFormat="false" ht="15" hidden="false" customHeight="false" outlineLevel="0" collapsed="false">
      <c r="A14" s="39" t="s">
        <v>277</v>
      </c>
      <c r="B14" s="47" t="n">
        <v>9</v>
      </c>
      <c r="D14" s="41" t="s">
        <v>278</v>
      </c>
      <c r="E14" s="48" t="n">
        <v>1</v>
      </c>
    </row>
    <row r="15" customFormat="false" ht="15" hidden="false" customHeight="false" outlineLevel="0" collapsed="false">
      <c r="A15" s="39" t="s">
        <v>53</v>
      </c>
      <c r="B15" s="47" t="n">
        <v>8</v>
      </c>
      <c r="D15" s="41" t="s">
        <v>279</v>
      </c>
      <c r="E15" s="48" t="n">
        <v>1</v>
      </c>
    </row>
    <row r="16" customFormat="false" ht="15" hidden="false" customHeight="false" outlineLevel="0" collapsed="false">
      <c r="A16" s="39" t="s">
        <v>59</v>
      </c>
      <c r="B16" s="47" t="n">
        <v>6</v>
      </c>
      <c r="D16" s="41" t="s">
        <v>69</v>
      </c>
      <c r="E16" s="48" t="n">
        <v>1</v>
      </c>
    </row>
    <row r="17" customFormat="false" ht="15" hidden="false" customHeight="false" outlineLevel="0" collapsed="false">
      <c r="A17" s="39" t="s">
        <v>49</v>
      </c>
      <c r="B17" s="47" t="n">
        <v>6</v>
      </c>
      <c r="D17" s="41" t="s">
        <v>71</v>
      </c>
      <c r="E17" s="48" t="n">
        <v>1</v>
      </c>
    </row>
    <row r="20" customFormat="false" ht="15" hidden="false" customHeight="false" outlineLevel="0" collapsed="false">
      <c r="A20" s="46" t="s">
        <v>141</v>
      </c>
      <c r="B20" s="46"/>
      <c r="C20" s="46"/>
      <c r="D20" s="46"/>
      <c r="E20" s="46"/>
      <c r="F20" s="46"/>
    </row>
    <row r="21" customFormat="false" ht="17.15" hidden="false" customHeight="false" outlineLevel="0" collapsed="false">
      <c r="A21" s="5" t="s">
        <v>142</v>
      </c>
      <c r="B21" s="5" t="s">
        <v>143</v>
      </c>
      <c r="C21" s="5" t="s">
        <v>144</v>
      </c>
      <c r="D21" s="5" t="s">
        <v>145</v>
      </c>
      <c r="E21" s="5" t="s">
        <v>146</v>
      </c>
    </row>
    <row r="22" customFormat="false" ht="26.85" hidden="false" customHeight="false" outlineLevel="0" collapsed="false">
      <c r="A22" s="7" t="s">
        <v>147</v>
      </c>
      <c r="B22" s="7" t="s">
        <v>148</v>
      </c>
      <c r="C22" s="7" t="s">
        <v>149</v>
      </c>
      <c r="D22" s="49" t="n">
        <v>236</v>
      </c>
      <c r="E22" s="50" t="n">
        <v>0.43</v>
      </c>
    </row>
    <row r="23" customFormat="false" ht="26.85" hidden="false" customHeight="false" outlineLevel="0" collapsed="false">
      <c r="A23" s="11" t="s">
        <v>147</v>
      </c>
      <c r="B23" s="11" t="s">
        <v>148</v>
      </c>
      <c r="C23" s="11" t="s">
        <v>150</v>
      </c>
      <c r="D23" s="51" t="n">
        <v>156</v>
      </c>
      <c r="E23" s="52" t="n">
        <v>0.28</v>
      </c>
    </row>
    <row r="24" customFormat="false" ht="26.85" hidden="false" customHeight="false" outlineLevel="0" collapsed="false">
      <c r="A24" s="7" t="s">
        <v>147</v>
      </c>
      <c r="B24" s="7" t="s">
        <v>148</v>
      </c>
      <c r="C24" s="7" t="s">
        <v>151</v>
      </c>
      <c r="D24" s="49" t="n">
        <v>108</v>
      </c>
      <c r="E24" s="50" t="n">
        <v>0.19</v>
      </c>
    </row>
    <row r="25" customFormat="false" ht="26.85" hidden="false" customHeight="false" outlineLevel="0" collapsed="false">
      <c r="A25" s="11" t="s">
        <v>147</v>
      </c>
      <c r="B25" s="11" t="s">
        <v>148</v>
      </c>
      <c r="C25" s="11" t="s">
        <v>152</v>
      </c>
      <c r="D25" s="51" t="n">
        <v>48</v>
      </c>
      <c r="E25" s="52" t="n">
        <v>0.08</v>
      </c>
    </row>
    <row r="26" customFormat="false" ht="15" hidden="false" customHeight="false" outlineLevel="0" collapsed="false">
      <c r="A26" s="7" t="s">
        <v>153</v>
      </c>
      <c r="B26" s="7" t="s">
        <v>154</v>
      </c>
      <c r="C26" s="53" t="s">
        <v>155</v>
      </c>
      <c r="D26" s="49" t="n">
        <v>428</v>
      </c>
      <c r="E26" s="54" t="n">
        <v>0.78</v>
      </c>
    </row>
    <row r="27" customFormat="false" ht="15" hidden="false" customHeight="false" outlineLevel="0" collapsed="false">
      <c r="A27" s="11" t="s">
        <v>153</v>
      </c>
      <c r="B27" s="11" t="s">
        <v>154</v>
      </c>
      <c r="C27" s="11" t="s">
        <v>156</v>
      </c>
      <c r="D27" s="51" t="n">
        <v>120</v>
      </c>
      <c r="E27" s="52" t="n">
        <v>0.21</v>
      </c>
    </row>
    <row r="28" customFormat="false" ht="15" hidden="false" customHeight="false" outlineLevel="0" collapsed="false">
      <c r="A28" s="7" t="s">
        <v>153</v>
      </c>
      <c r="B28" s="7" t="s">
        <v>154</v>
      </c>
      <c r="C28" s="7" t="s">
        <v>157</v>
      </c>
      <c r="D28" s="49" t="n">
        <v>0</v>
      </c>
      <c r="E28" s="50" t="n">
        <v>0</v>
      </c>
    </row>
    <row r="29" customFormat="false" ht="15" hidden="false" customHeight="false" outlineLevel="0" collapsed="false">
      <c r="A29" s="11" t="s">
        <v>158</v>
      </c>
      <c r="B29" s="11" t="s">
        <v>159</v>
      </c>
      <c r="C29" s="55" t="s">
        <v>160</v>
      </c>
      <c r="D29" s="51" t="n">
        <v>400</v>
      </c>
      <c r="E29" s="56" t="n">
        <v>0.72</v>
      </c>
    </row>
    <row r="30" customFormat="false" ht="15" hidden="false" customHeight="false" outlineLevel="0" collapsed="false">
      <c r="A30" s="7" t="s">
        <v>158</v>
      </c>
      <c r="B30" s="7" t="s">
        <v>159</v>
      </c>
      <c r="C30" s="7" t="s">
        <v>156</v>
      </c>
      <c r="D30" s="49" t="n">
        <v>124</v>
      </c>
      <c r="E30" s="50" t="n">
        <v>0.22</v>
      </c>
    </row>
    <row r="31" customFormat="false" ht="15" hidden="false" customHeight="false" outlineLevel="0" collapsed="false">
      <c r="A31" s="11" t="s">
        <v>158</v>
      </c>
      <c r="B31" s="11" t="s">
        <v>159</v>
      </c>
      <c r="C31" s="11" t="s">
        <v>161</v>
      </c>
      <c r="D31" s="51" t="n">
        <v>24</v>
      </c>
      <c r="E31" s="52" t="n">
        <v>0.04</v>
      </c>
    </row>
    <row r="32" customFormat="false" ht="15" hidden="false" customHeight="false" outlineLevel="0" collapsed="false">
      <c r="A32" s="7" t="s">
        <v>162</v>
      </c>
      <c r="B32" s="7" t="s">
        <v>163</v>
      </c>
      <c r="C32" s="53" t="s">
        <v>165</v>
      </c>
      <c r="D32" s="49" t="n">
        <v>280</v>
      </c>
      <c r="E32" s="54" t="n">
        <v>0.51</v>
      </c>
    </row>
    <row r="33" customFormat="false" ht="15" hidden="false" customHeight="false" outlineLevel="0" collapsed="false">
      <c r="A33" s="11" t="s">
        <v>162</v>
      </c>
      <c r="B33" s="11" t="s">
        <v>163</v>
      </c>
      <c r="C33" s="11" t="s">
        <v>164</v>
      </c>
      <c r="D33" s="51" t="n">
        <v>256</v>
      </c>
      <c r="E33" s="52" t="n">
        <v>0.46</v>
      </c>
    </row>
    <row r="34" customFormat="false" ht="15" hidden="false" customHeight="false" outlineLevel="0" collapsed="false">
      <c r="A34" s="7" t="s">
        <v>162</v>
      </c>
      <c r="B34" s="7" t="s">
        <v>163</v>
      </c>
      <c r="C34" s="7" t="s">
        <v>166</v>
      </c>
      <c r="D34" s="49" t="n">
        <v>12</v>
      </c>
      <c r="E34" s="50" t="n">
        <v>0.02</v>
      </c>
    </row>
    <row r="37" customFormat="false" ht="19.4" hidden="false" customHeight="false" outlineLevel="0" collapsed="false">
      <c r="A37" s="46" t="s">
        <v>167</v>
      </c>
      <c r="B37" s="46"/>
      <c r="C37" s="46"/>
      <c r="D37" s="46"/>
      <c r="E37" s="46"/>
      <c r="F37" s="46"/>
    </row>
    <row r="38" customFormat="false" ht="17.15" hidden="false" customHeight="false" outlineLevel="0" collapsed="false">
      <c r="A38" s="5" t="s">
        <v>168</v>
      </c>
      <c r="B38" s="5" t="s">
        <v>169</v>
      </c>
      <c r="C38" s="5" t="s">
        <v>170</v>
      </c>
      <c r="D38" s="5" t="s">
        <v>171</v>
      </c>
      <c r="E38" s="5" t="s">
        <v>172</v>
      </c>
    </row>
    <row r="39" customFormat="false" ht="15" hidden="false" customHeight="false" outlineLevel="0" collapsed="false">
      <c r="A39" s="55" t="s">
        <v>46</v>
      </c>
      <c r="B39" s="58" t="s">
        <v>174</v>
      </c>
      <c r="C39" s="51" t="n">
        <v>67</v>
      </c>
      <c r="D39" s="57" t="n">
        <v>92</v>
      </c>
      <c r="E39" s="57" t="n">
        <v>17.7</v>
      </c>
    </row>
    <row r="40" customFormat="false" ht="15" hidden="false" customHeight="false" outlineLevel="0" collapsed="false">
      <c r="A40" s="55" t="s">
        <v>55</v>
      </c>
      <c r="B40" s="58" t="s">
        <v>174</v>
      </c>
      <c r="C40" s="51" t="n">
        <v>62</v>
      </c>
      <c r="D40" s="57" t="n">
        <v>85.2</v>
      </c>
      <c r="E40" s="57" t="n">
        <v>70.8</v>
      </c>
    </row>
    <row r="41" customFormat="false" ht="15" hidden="false" customHeight="false" outlineLevel="0" collapsed="false">
      <c r="A41" s="55" t="s">
        <v>90</v>
      </c>
      <c r="B41" s="11" t="s">
        <v>173</v>
      </c>
      <c r="C41" s="51" t="n">
        <v>37</v>
      </c>
      <c r="D41" s="57" t="n">
        <v>50.8</v>
      </c>
      <c r="E41" s="57" t="n">
        <v>8.8</v>
      </c>
    </row>
    <row r="42" customFormat="false" ht="15" hidden="false" customHeight="false" outlineLevel="0" collapsed="false">
      <c r="A42" s="55" t="s">
        <v>64</v>
      </c>
      <c r="B42" s="15" t="s">
        <v>176</v>
      </c>
      <c r="C42" s="51" t="n">
        <v>25</v>
      </c>
      <c r="D42" s="57" t="n">
        <v>34.3</v>
      </c>
      <c r="E42" s="57" t="n">
        <v>17.7</v>
      </c>
    </row>
    <row r="43" customFormat="false" ht="15" hidden="false" customHeight="false" outlineLevel="0" collapsed="false">
      <c r="A43" s="55" t="s">
        <v>47</v>
      </c>
      <c r="B43" s="58" t="s">
        <v>174</v>
      </c>
      <c r="C43" s="51" t="n">
        <v>24</v>
      </c>
      <c r="D43" s="57" t="n">
        <v>33</v>
      </c>
      <c r="E43" s="57" t="n">
        <v>17.7</v>
      </c>
    </row>
    <row r="44" customFormat="false" ht="15" hidden="false" customHeight="false" outlineLevel="0" collapsed="false">
      <c r="A44" s="55" t="s">
        <v>196</v>
      </c>
      <c r="B44" s="15" t="s">
        <v>176</v>
      </c>
      <c r="C44" s="51" t="n">
        <v>18</v>
      </c>
      <c r="D44" s="57" t="n">
        <v>24.7</v>
      </c>
      <c r="E44" s="57" t="n">
        <v>8.8</v>
      </c>
    </row>
    <row r="45" customFormat="false" ht="15" hidden="false" customHeight="false" outlineLevel="0" collapsed="false">
      <c r="A45" s="55" t="s">
        <v>68</v>
      </c>
      <c r="B45" s="15" t="s">
        <v>176</v>
      </c>
      <c r="C45" s="51" t="n">
        <v>15</v>
      </c>
      <c r="D45" s="57" t="n">
        <v>20.6</v>
      </c>
      <c r="E45" s="57" t="n">
        <v>0</v>
      </c>
    </row>
    <row r="46" customFormat="false" ht="15" hidden="false" customHeight="false" outlineLevel="0" collapsed="false">
      <c r="A46" s="55" t="s">
        <v>125</v>
      </c>
      <c r="B46" s="58" t="s">
        <v>174</v>
      </c>
      <c r="C46" s="51" t="n">
        <v>14</v>
      </c>
      <c r="D46" s="57" t="n">
        <v>19.2</v>
      </c>
      <c r="E46" s="57" t="n">
        <v>8.8</v>
      </c>
    </row>
    <row r="47" customFormat="false" ht="15" hidden="false" customHeight="false" outlineLevel="0" collapsed="false">
      <c r="A47" s="55" t="s">
        <v>175</v>
      </c>
      <c r="B47" s="15" t="s">
        <v>176</v>
      </c>
      <c r="C47" s="51" t="n">
        <v>11</v>
      </c>
      <c r="D47" s="57" t="n">
        <v>15.1</v>
      </c>
      <c r="E47" s="57" t="n">
        <v>0</v>
      </c>
    </row>
    <row r="48" customFormat="false" ht="15" hidden="false" customHeight="false" outlineLevel="0" collapsed="false">
      <c r="A48" s="55" t="s">
        <v>52</v>
      </c>
      <c r="B48" s="58" t="s">
        <v>174</v>
      </c>
      <c r="C48" s="51" t="n">
        <v>11</v>
      </c>
      <c r="D48" s="57" t="n">
        <v>15.1</v>
      </c>
      <c r="E48" s="57" t="n">
        <v>0</v>
      </c>
    </row>
    <row r="51" customFormat="false" ht="15" hidden="false" customHeight="false" outlineLevel="0" collapsed="false">
      <c r="A51" s="46" t="s">
        <v>182</v>
      </c>
      <c r="B51" s="46"/>
      <c r="C51" s="46"/>
      <c r="D51" s="46"/>
      <c r="E51" s="46"/>
      <c r="F51" s="46"/>
    </row>
    <row r="52" customFormat="false" ht="17.15" hidden="false" customHeight="false" outlineLevel="0" collapsed="false">
      <c r="A52" s="5" t="s">
        <v>183</v>
      </c>
      <c r="B52" s="5" t="s">
        <v>184</v>
      </c>
      <c r="C52" s="5" t="s">
        <v>185</v>
      </c>
    </row>
    <row r="53" customFormat="false" ht="15" hidden="false" customHeight="false" outlineLevel="0" collapsed="false">
      <c r="A53" s="11" t="s">
        <v>73</v>
      </c>
      <c r="B53" s="51" t="n">
        <v>11</v>
      </c>
      <c r="C53" s="59" t="n">
        <f aca="false">B53/168</f>
        <v>0.0654761904761905</v>
      </c>
    </row>
    <row r="54" customFormat="false" ht="15" hidden="false" customHeight="false" outlineLevel="0" collapsed="false">
      <c r="A54" s="11" t="s">
        <v>98</v>
      </c>
      <c r="B54" s="51" t="n">
        <v>11</v>
      </c>
      <c r="C54" s="59" t="n">
        <f aca="false">B54/168</f>
        <v>0.0654761904761905</v>
      </c>
    </row>
    <row r="55" customFormat="false" ht="15" hidden="false" customHeight="false" outlineLevel="0" collapsed="false">
      <c r="A55" s="11" t="s">
        <v>52</v>
      </c>
      <c r="B55" s="51" t="n">
        <v>8</v>
      </c>
      <c r="C55" s="59" t="n">
        <f aca="false">B55/168</f>
        <v>0.0476190476190476</v>
      </c>
    </row>
    <row r="56" customFormat="false" ht="15" hidden="false" customHeight="false" outlineLevel="0" collapsed="false">
      <c r="A56" s="11" t="s">
        <v>99</v>
      </c>
      <c r="B56" s="51" t="n">
        <v>2</v>
      </c>
      <c r="C56" s="59" t="n">
        <f aca="false">B56/168</f>
        <v>0.0119047619047619</v>
      </c>
    </row>
    <row r="57" customFormat="false" ht="15" hidden="false" customHeight="false" outlineLevel="0" collapsed="false">
      <c r="A57" s="11" t="s">
        <v>97</v>
      </c>
      <c r="B57" s="51" t="n">
        <v>1</v>
      </c>
      <c r="C57" s="59" t="n">
        <f aca="false">B57/168</f>
        <v>0.00595238095238095</v>
      </c>
    </row>
    <row r="58" customFormat="false" ht="15" hidden="false" customHeight="false" outlineLevel="0" collapsed="false">
      <c r="A58" s="11" t="s">
        <v>101</v>
      </c>
      <c r="B58" s="51" t="n">
        <v>1</v>
      </c>
      <c r="C58" s="59" t="n">
        <f aca="false">B58/168</f>
        <v>0.00595238095238095</v>
      </c>
    </row>
    <row r="61" customFormat="false" ht="19.4" hidden="false" customHeight="false" outlineLevel="0" collapsed="false">
      <c r="A61" s="46" t="s">
        <v>186</v>
      </c>
      <c r="B61" s="46"/>
      <c r="C61" s="46"/>
      <c r="D61" s="46"/>
      <c r="E61" s="46"/>
      <c r="F61" s="46"/>
    </row>
    <row r="62" customFormat="false" ht="17.15" hidden="false" customHeight="false" outlineLevel="0" collapsed="false">
      <c r="A62" s="5" t="s">
        <v>187</v>
      </c>
      <c r="B62" s="5" t="s">
        <v>184</v>
      </c>
      <c r="C62" s="5" t="s">
        <v>185</v>
      </c>
    </row>
    <row r="63" customFormat="false" ht="15" hidden="false" customHeight="false" outlineLevel="0" collapsed="false">
      <c r="A63" s="11" t="s">
        <v>75</v>
      </c>
      <c r="B63" s="51" t="n">
        <v>6</v>
      </c>
      <c r="C63" s="59" t="n">
        <f aca="false">B63/168</f>
        <v>0.0357142857142857</v>
      </c>
    </row>
    <row r="64" customFormat="false" ht="15" hidden="false" customHeight="false" outlineLevel="0" collapsed="false">
      <c r="A64" s="11" t="s">
        <v>76</v>
      </c>
      <c r="B64" s="51" t="n">
        <v>6</v>
      </c>
      <c r="C64" s="59" t="n">
        <f aca="false">B64/168</f>
        <v>0.0357142857142857</v>
      </c>
    </row>
    <row r="65" customFormat="false" ht="15" hidden="false" customHeight="false" outlineLevel="0" collapsed="false">
      <c r="A65" s="11" t="s">
        <v>79</v>
      </c>
      <c r="B65" s="51" t="n">
        <v>4</v>
      </c>
      <c r="C65" s="59" t="n">
        <f aca="false">B65/168</f>
        <v>0.0238095238095238</v>
      </c>
    </row>
    <row r="66" customFormat="false" ht="15" hidden="false" customHeight="false" outlineLevel="0" collapsed="false">
      <c r="A66" s="11" t="s">
        <v>77</v>
      </c>
      <c r="B66" s="51" t="n">
        <v>1</v>
      </c>
      <c r="C66" s="59" t="n">
        <f aca="false">B66/168</f>
        <v>0.00595238095238095</v>
      </c>
    </row>
    <row r="67" customFormat="false" ht="15" hidden="false" customHeight="false" outlineLevel="0" collapsed="false">
      <c r="A67" s="11" t="s">
        <v>85</v>
      </c>
      <c r="B67" s="51" t="n">
        <v>1</v>
      </c>
      <c r="C67" s="59" t="n">
        <f aca="false">B67/168</f>
        <v>0.00595238095238095</v>
      </c>
    </row>
    <row r="68" customFormat="false" ht="15" hidden="false" customHeight="false" outlineLevel="0" collapsed="false">
      <c r="A68" s="11" t="s">
        <v>88</v>
      </c>
      <c r="B68" s="51" t="n">
        <v>1</v>
      </c>
      <c r="C68" s="59" t="n">
        <f aca="false">B68/168</f>
        <v>0.00595238095238095</v>
      </c>
    </row>
    <row r="69" customFormat="false" ht="15" hidden="false" customHeight="false" outlineLevel="0" collapsed="false">
      <c r="A69" s="11" t="s">
        <v>83</v>
      </c>
      <c r="B69" s="51" t="n">
        <v>1</v>
      </c>
      <c r="C69" s="59" t="n">
        <f aca="false">B69/168</f>
        <v>0.00595238095238095</v>
      </c>
    </row>
    <row r="72" customFormat="false" ht="19.4" hidden="false" customHeight="false" outlineLevel="0" collapsed="false">
      <c r="A72" s="46" t="s">
        <v>188</v>
      </c>
      <c r="B72" s="46"/>
      <c r="C72" s="46"/>
      <c r="D72" s="46"/>
      <c r="E72" s="46"/>
      <c r="F72" s="46"/>
    </row>
    <row r="73" customFormat="false" ht="42" hidden="false" customHeight="true" outlineLevel="0" collapsed="false">
      <c r="A73" s="60" t="s">
        <v>189</v>
      </c>
      <c r="B73" s="61" t="s">
        <v>280</v>
      </c>
      <c r="C73" s="61"/>
      <c r="D73" s="61"/>
      <c r="E73" s="61"/>
      <c r="F73" s="61"/>
    </row>
    <row r="74" customFormat="false" ht="42" hidden="false" customHeight="true" outlineLevel="0" collapsed="false">
      <c r="A74" s="60" t="s">
        <v>189</v>
      </c>
      <c r="B74" s="61"/>
      <c r="C74" s="61"/>
      <c r="D74" s="61"/>
      <c r="E74" s="61"/>
      <c r="F74" s="61"/>
    </row>
    <row r="75" customFormat="false" ht="42" hidden="false" customHeight="true" outlineLevel="0" collapsed="false">
      <c r="A75" s="60" t="s">
        <v>200</v>
      </c>
      <c r="B75" s="61" t="s">
        <v>281</v>
      </c>
      <c r="C75" s="61"/>
      <c r="D75" s="61"/>
      <c r="E75" s="61"/>
      <c r="F75" s="61"/>
    </row>
    <row r="76" customFormat="false" ht="42" hidden="false" customHeight="true" outlineLevel="0" collapsed="false">
      <c r="A76" s="60" t="s">
        <v>189</v>
      </c>
      <c r="B76" s="61" t="s">
        <v>282</v>
      </c>
      <c r="C76" s="61"/>
      <c r="D76" s="61"/>
      <c r="E76" s="61"/>
      <c r="F76" s="61"/>
    </row>
    <row r="77" customFormat="false" ht="42" hidden="false" customHeight="true" outlineLevel="0" collapsed="false">
      <c r="A77" s="60" t="s">
        <v>189</v>
      </c>
      <c r="B77" s="61" t="s">
        <v>283</v>
      </c>
      <c r="C77" s="61"/>
      <c r="D77" s="61"/>
      <c r="E77" s="61"/>
      <c r="F77" s="61"/>
    </row>
  </sheetData>
  <mergeCells count="13">
    <mergeCell ref="A1:F1"/>
    <mergeCell ref="A2:F2"/>
    <mergeCell ref="A4:F4"/>
    <mergeCell ref="A20:F20"/>
    <mergeCell ref="A37:F37"/>
    <mergeCell ref="A51:F51"/>
    <mergeCell ref="A61:F61"/>
    <mergeCell ref="A72:F72"/>
    <mergeCell ref="B73:F73"/>
    <mergeCell ref="B74:F74"/>
    <mergeCell ref="B75:F75"/>
    <mergeCell ref="B76:F76"/>
    <mergeCell ref="B77:F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35" t="s">
        <v>284</v>
      </c>
      <c r="B1" s="35"/>
      <c r="C1" s="35"/>
      <c r="D1" s="35"/>
      <c r="E1" s="35"/>
      <c r="F1" s="35"/>
    </row>
    <row r="2" customFormat="false" ht="15" hidden="false" customHeight="false" outlineLevel="0" collapsed="false">
      <c r="A2" s="2" t="s">
        <v>285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46" t="s">
        <v>137</v>
      </c>
      <c r="B4" s="46"/>
      <c r="C4" s="46"/>
      <c r="D4" s="46"/>
      <c r="E4" s="46"/>
      <c r="F4" s="46"/>
    </row>
    <row r="5" customFormat="false" ht="30.55" hidden="false" customHeight="false" outlineLevel="0" collapsed="false">
      <c r="A5" s="4" t="s">
        <v>138</v>
      </c>
      <c r="B5" s="5" t="s">
        <v>139</v>
      </c>
      <c r="D5" s="4" t="s">
        <v>140</v>
      </c>
      <c r="E5" s="5" t="s">
        <v>139</v>
      </c>
    </row>
    <row r="6" customFormat="false" ht="15" hidden="false" customHeight="false" outlineLevel="0" collapsed="false">
      <c r="A6" s="39" t="s">
        <v>55</v>
      </c>
      <c r="B6" s="47" t="n">
        <v>126</v>
      </c>
      <c r="D6" s="41" t="s">
        <v>68</v>
      </c>
      <c r="E6" s="48" t="n">
        <v>76</v>
      </c>
    </row>
    <row r="7" customFormat="false" ht="15" hidden="false" customHeight="false" outlineLevel="0" collapsed="false">
      <c r="A7" s="39" t="s">
        <v>46</v>
      </c>
      <c r="B7" s="47" t="n">
        <v>59</v>
      </c>
      <c r="D7" s="41" t="s">
        <v>64</v>
      </c>
      <c r="E7" s="48" t="n">
        <v>29</v>
      </c>
    </row>
    <row r="8" customFormat="false" ht="15" hidden="false" customHeight="false" outlineLevel="0" collapsed="false">
      <c r="A8" s="39" t="s">
        <v>47</v>
      </c>
      <c r="B8" s="47" t="n">
        <v>42</v>
      </c>
      <c r="D8" s="41" t="s">
        <v>62</v>
      </c>
      <c r="E8" s="48" t="n">
        <v>8</v>
      </c>
    </row>
    <row r="9" customFormat="false" ht="15" hidden="false" customHeight="false" outlineLevel="0" collapsed="false">
      <c r="A9" s="39" t="s">
        <v>49</v>
      </c>
      <c r="B9" s="47" t="n">
        <v>36</v>
      </c>
      <c r="D9" s="41" t="s">
        <v>73</v>
      </c>
      <c r="E9" s="48" t="n">
        <v>6</v>
      </c>
    </row>
    <row r="10" customFormat="false" ht="15" hidden="false" customHeight="false" outlineLevel="0" collapsed="false">
      <c r="A10" s="39" t="s">
        <v>127</v>
      </c>
      <c r="B10" s="47" t="n">
        <v>27</v>
      </c>
      <c r="D10" s="41" t="s">
        <v>70</v>
      </c>
      <c r="E10" s="48" t="n">
        <v>5</v>
      </c>
    </row>
    <row r="11" customFormat="false" ht="15" hidden="false" customHeight="false" outlineLevel="0" collapsed="false">
      <c r="A11" s="39" t="s">
        <v>96</v>
      </c>
      <c r="B11" s="47" t="n">
        <v>25</v>
      </c>
      <c r="D11" s="41" t="s">
        <v>63</v>
      </c>
      <c r="E11" s="48" t="n">
        <v>4</v>
      </c>
    </row>
    <row r="12" customFormat="false" ht="15" hidden="false" customHeight="false" outlineLevel="0" collapsed="false">
      <c r="A12" s="39" t="s">
        <v>50</v>
      </c>
      <c r="B12" s="47" t="n">
        <v>24</v>
      </c>
      <c r="D12" s="41" t="s">
        <v>117</v>
      </c>
      <c r="E12" s="48" t="n">
        <v>2</v>
      </c>
    </row>
    <row r="13" customFormat="false" ht="15" hidden="false" customHeight="false" outlineLevel="0" collapsed="false">
      <c r="A13" s="39" t="s">
        <v>48</v>
      </c>
      <c r="B13" s="47" t="n">
        <v>19</v>
      </c>
    </row>
    <row r="14" customFormat="false" ht="15" hidden="false" customHeight="false" outlineLevel="0" collapsed="false">
      <c r="A14" s="39" t="s">
        <v>59</v>
      </c>
      <c r="B14" s="47" t="n">
        <v>16</v>
      </c>
    </row>
    <row r="15" customFormat="false" ht="15" hidden="false" customHeight="false" outlineLevel="0" collapsed="false">
      <c r="A15" s="39" t="s">
        <v>53</v>
      </c>
      <c r="B15" s="47" t="n">
        <v>12</v>
      </c>
    </row>
    <row r="16" customFormat="false" ht="15" hidden="false" customHeight="false" outlineLevel="0" collapsed="false">
      <c r="A16" s="39" t="s">
        <v>51</v>
      </c>
      <c r="B16" s="47" t="n">
        <v>10</v>
      </c>
    </row>
    <row r="17" customFormat="false" ht="15" hidden="false" customHeight="false" outlineLevel="0" collapsed="false">
      <c r="A17" s="39" t="s">
        <v>277</v>
      </c>
      <c r="B17" s="47" t="n">
        <v>10</v>
      </c>
    </row>
    <row r="20" customFormat="false" ht="15" hidden="false" customHeight="false" outlineLevel="0" collapsed="false">
      <c r="A20" s="46" t="s">
        <v>141</v>
      </c>
      <c r="B20" s="46"/>
      <c r="C20" s="46"/>
      <c r="D20" s="46"/>
      <c r="E20" s="46"/>
      <c r="F20" s="46"/>
    </row>
    <row r="21" customFormat="false" ht="17.15" hidden="false" customHeight="false" outlineLevel="0" collapsed="false">
      <c r="A21" s="5" t="s">
        <v>142</v>
      </c>
      <c r="B21" s="5" t="s">
        <v>143</v>
      </c>
      <c r="C21" s="5" t="s">
        <v>144</v>
      </c>
      <c r="D21" s="5" t="s">
        <v>145</v>
      </c>
      <c r="E21" s="5" t="s">
        <v>146</v>
      </c>
    </row>
    <row r="22" customFormat="false" ht="26.85" hidden="false" customHeight="false" outlineLevel="0" collapsed="false">
      <c r="A22" s="7" t="s">
        <v>147</v>
      </c>
      <c r="B22" s="7" t="s">
        <v>148</v>
      </c>
      <c r="C22" s="7" t="s">
        <v>150</v>
      </c>
      <c r="D22" s="49" t="n">
        <v>204</v>
      </c>
      <c r="E22" s="50" t="n">
        <v>0.37</v>
      </c>
    </row>
    <row r="23" customFormat="false" ht="26.85" hidden="false" customHeight="false" outlineLevel="0" collapsed="false">
      <c r="A23" s="11" t="s">
        <v>147</v>
      </c>
      <c r="B23" s="11" t="s">
        <v>148</v>
      </c>
      <c r="C23" s="11" t="s">
        <v>149</v>
      </c>
      <c r="D23" s="51" t="n">
        <v>156</v>
      </c>
      <c r="E23" s="52" t="n">
        <v>0.28</v>
      </c>
    </row>
    <row r="24" customFormat="false" ht="26.85" hidden="false" customHeight="false" outlineLevel="0" collapsed="false">
      <c r="A24" s="7" t="s">
        <v>147</v>
      </c>
      <c r="B24" s="7" t="s">
        <v>148</v>
      </c>
      <c r="C24" s="7" t="s">
        <v>151</v>
      </c>
      <c r="D24" s="49" t="n">
        <v>120</v>
      </c>
      <c r="E24" s="50" t="n">
        <v>0.22</v>
      </c>
    </row>
    <row r="25" customFormat="false" ht="26.85" hidden="false" customHeight="false" outlineLevel="0" collapsed="false">
      <c r="A25" s="11" t="s">
        <v>147</v>
      </c>
      <c r="B25" s="11" t="s">
        <v>148</v>
      </c>
      <c r="C25" s="11" t="s">
        <v>152</v>
      </c>
      <c r="D25" s="51" t="n">
        <v>60</v>
      </c>
      <c r="E25" s="52" t="n">
        <v>0.11</v>
      </c>
    </row>
    <row r="26" customFormat="false" ht="15" hidden="false" customHeight="false" outlineLevel="0" collapsed="false">
      <c r="A26" s="7" t="s">
        <v>153</v>
      </c>
      <c r="B26" s="7" t="s">
        <v>154</v>
      </c>
      <c r="C26" s="53" t="s">
        <v>155</v>
      </c>
      <c r="D26" s="49" t="n">
        <v>404</v>
      </c>
      <c r="E26" s="54" t="n">
        <v>0.74</v>
      </c>
    </row>
    <row r="27" customFormat="false" ht="15" hidden="false" customHeight="false" outlineLevel="0" collapsed="false">
      <c r="A27" s="11" t="s">
        <v>153</v>
      </c>
      <c r="B27" s="11" t="s">
        <v>154</v>
      </c>
      <c r="C27" s="11" t="s">
        <v>156</v>
      </c>
      <c r="D27" s="51" t="n">
        <v>132</v>
      </c>
      <c r="E27" s="52" t="n">
        <v>0.24</v>
      </c>
    </row>
    <row r="28" customFormat="false" ht="15" hidden="false" customHeight="false" outlineLevel="0" collapsed="false">
      <c r="A28" s="7" t="s">
        <v>153</v>
      </c>
      <c r="B28" s="7" t="s">
        <v>154</v>
      </c>
      <c r="C28" s="7" t="s">
        <v>157</v>
      </c>
      <c r="D28" s="49" t="n">
        <v>4</v>
      </c>
      <c r="E28" s="50" t="n">
        <v>0</v>
      </c>
    </row>
    <row r="29" customFormat="false" ht="15" hidden="false" customHeight="false" outlineLevel="0" collapsed="false">
      <c r="A29" s="11" t="s">
        <v>158</v>
      </c>
      <c r="B29" s="11" t="s">
        <v>159</v>
      </c>
      <c r="C29" s="55" t="s">
        <v>160</v>
      </c>
      <c r="D29" s="51" t="n">
        <v>424</v>
      </c>
      <c r="E29" s="56" t="n">
        <v>0.78</v>
      </c>
    </row>
    <row r="30" customFormat="false" ht="15" hidden="false" customHeight="false" outlineLevel="0" collapsed="false">
      <c r="A30" s="7" t="s">
        <v>158</v>
      </c>
      <c r="B30" s="7" t="s">
        <v>159</v>
      </c>
      <c r="C30" s="7" t="s">
        <v>156</v>
      </c>
      <c r="D30" s="49" t="n">
        <v>108</v>
      </c>
      <c r="E30" s="50" t="n">
        <v>0.2</v>
      </c>
    </row>
    <row r="31" customFormat="false" ht="15" hidden="false" customHeight="false" outlineLevel="0" collapsed="false">
      <c r="A31" s="11" t="s">
        <v>158</v>
      </c>
      <c r="B31" s="11" t="s">
        <v>159</v>
      </c>
      <c r="C31" s="11" t="s">
        <v>161</v>
      </c>
      <c r="D31" s="51" t="n">
        <v>8</v>
      </c>
      <c r="E31" s="52" t="n">
        <v>0.01</v>
      </c>
    </row>
    <row r="32" customFormat="false" ht="15" hidden="false" customHeight="false" outlineLevel="0" collapsed="false">
      <c r="A32" s="7" t="s">
        <v>162</v>
      </c>
      <c r="B32" s="7" t="s">
        <v>163</v>
      </c>
      <c r="C32" s="53" t="s">
        <v>165</v>
      </c>
      <c r="D32" s="49" t="n">
        <v>320</v>
      </c>
      <c r="E32" s="54" t="n">
        <v>0.59</v>
      </c>
    </row>
    <row r="33" customFormat="false" ht="15" hidden="false" customHeight="false" outlineLevel="0" collapsed="false">
      <c r="A33" s="11" t="s">
        <v>162</v>
      </c>
      <c r="B33" s="11" t="s">
        <v>163</v>
      </c>
      <c r="C33" s="11" t="s">
        <v>164</v>
      </c>
      <c r="D33" s="51" t="n">
        <v>212</v>
      </c>
      <c r="E33" s="52" t="n">
        <v>0.39</v>
      </c>
    </row>
    <row r="34" customFormat="false" ht="15" hidden="false" customHeight="false" outlineLevel="0" collapsed="false">
      <c r="A34" s="7" t="s">
        <v>162</v>
      </c>
      <c r="B34" s="7" t="s">
        <v>163</v>
      </c>
      <c r="C34" s="7" t="s">
        <v>166</v>
      </c>
      <c r="D34" s="49" t="n">
        <v>8</v>
      </c>
      <c r="E34" s="50" t="n">
        <v>0.01</v>
      </c>
    </row>
    <row r="37" customFormat="false" ht="19.4" hidden="false" customHeight="false" outlineLevel="0" collapsed="false">
      <c r="A37" s="46" t="s">
        <v>167</v>
      </c>
      <c r="B37" s="46"/>
      <c r="C37" s="46"/>
      <c r="D37" s="46"/>
      <c r="E37" s="46"/>
      <c r="F37" s="46"/>
    </row>
    <row r="38" customFormat="false" ht="17.15" hidden="false" customHeight="false" outlineLevel="0" collapsed="false">
      <c r="A38" s="5" t="s">
        <v>168</v>
      </c>
      <c r="B38" s="5" t="s">
        <v>169</v>
      </c>
      <c r="C38" s="5" t="s">
        <v>170</v>
      </c>
      <c r="D38" s="5" t="s">
        <v>171</v>
      </c>
      <c r="E38" s="5" t="s">
        <v>172</v>
      </c>
    </row>
    <row r="39" customFormat="false" ht="15" hidden="false" customHeight="false" outlineLevel="0" collapsed="false">
      <c r="A39" s="55" t="s">
        <v>55</v>
      </c>
      <c r="B39" s="58" t="s">
        <v>174</v>
      </c>
      <c r="C39" s="51" t="n">
        <v>124</v>
      </c>
      <c r="D39" s="57" t="n">
        <v>89.6</v>
      </c>
      <c r="E39" s="57" t="n">
        <v>0</v>
      </c>
    </row>
    <row r="40" customFormat="false" ht="15" hidden="false" customHeight="false" outlineLevel="0" collapsed="false">
      <c r="A40" s="55" t="s">
        <v>90</v>
      </c>
      <c r="B40" s="11" t="s">
        <v>173</v>
      </c>
      <c r="C40" s="51" t="n">
        <v>69</v>
      </c>
      <c r="D40" s="57" t="n">
        <v>49.9</v>
      </c>
      <c r="E40" s="57" t="n">
        <v>0</v>
      </c>
    </row>
    <row r="41" customFormat="false" ht="15" hidden="false" customHeight="false" outlineLevel="0" collapsed="false">
      <c r="A41" s="55" t="s">
        <v>47</v>
      </c>
      <c r="B41" s="58" t="s">
        <v>174</v>
      </c>
      <c r="C41" s="51" t="n">
        <v>41</v>
      </c>
      <c r="D41" s="57" t="n">
        <v>29.6</v>
      </c>
      <c r="E41" s="57" t="n">
        <v>0</v>
      </c>
    </row>
    <row r="42" customFormat="false" ht="15" hidden="false" customHeight="false" outlineLevel="0" collapsed="false">
      <c r="A42" s="55" t="s">
        <v>286</v>
      </c>
      <c r="B42" s="11" t="s">
        <v>173</v>
      </c>
      <c r="C42" s="51" t="n">
        <v>38</v>
      </c>
      <c r="D42" s="57" t="n">
        <v>27.5</v>
      </c>
      <c r="E42" s="57" t="n">
        <v>0</v>
      </c>
    </row>
    <row r="43" customFormat="false" ht="15" hidden="false" customHeight="false" outlineLevel="0" collapsed="false">
      <c r="A43" s="55" t="s">
        <v>49</v>
      </c>
      <c r="B43" s="58" t="s">
        <v>174</v>
      </c>
      <c r="C43" s="51" t="n">
        <v>36</v>
      </c>
      <c r="D43" s="57" t="n">
        <v>26</v>
      </c>
      <c r="E43" s="57" t="n">
        <v>0</v>
      </c>
    </row>
    <row r="44" customFormat="false" ht="15" hidden="false" customHeight="false" outlineLevel="0" collapsed="false">
      <c r="A44" s="55" t="s">
        <v>127</v>
      </c>
      <c r="B44" s="58" t="s">
        <v>174</v>
      </c>
      <c r="C44" s="51" t="n">
        <v>27</v>
      </c>
      <c r="D44" s="57" t="n">
        <v>19.5</v>
      </c>
      <c r="E44" s="57" t="n">
        <v>0</v>
      </c>
    </row>
    <row r="45" customFormat="false" ht="15" hidden="false" customHeight="false" outlineLevel="0" collapsed="false">
      <c r="A45" s="55" t="s">
        <v>64</v>
      </c>
      <c r="B45" s="15" t="s">
        <v>176</v>
      </c>
      <c r="C45" s="51" t="n">
        <v>27</v>
      </c>
      <c r="D45" s="57" t="n">
        <v>19.5</v>
      </c>
      <c r="E45" s="57" t="n">
        <v>0</v>
      </c>
    </row>
    <row r="46" customFormat="false" ht="15" hidden="false" customHeight="false" outlineLevel="0" collapsed="false">
      <c r="A46" s="55" t="s">
        <v>96</v>
      </c>
      <c r="B46" s="58" t="s">
        <v>174</v>
      </c>
      <c r="C46" s="51" t="n">
        <v>25</v>
      </c>
      <c r="D46" s="57" t="n">
        <v>18.1</v>
      </c>
      <c r="E46" s="57" t="n">
        <v>0</v>
      </c>
    </row>
    <row r="47" customFormat="false" ht="15" hidden="false" customHeight="false" outlineLevel="0" collapsed="false">
      <c r="A47" s="55" t="s">
        <v>50</v>
      </c>
      <c r="B47" s="58" t="s">
        <v>174</v>
      </c>
      <c r="C47" s="51" t="n">
        <v>24</v>
      </c>
      <c r="D47" s="57" t="n">
        <v>17.3</v>
      </c>
      <c r="E47" s="57" t="n">
        <v>0</v>
      </c>
    </row>
    <row r="48" customFormat="false" ht="15" hidden="false" customHeight="false" outlineLevel="0" collapsed="false">
      <c r="A48" s="55" t="s">
        <v>91</v>
      </c>
      <c r="B48" s="11" t="s">
        <v>173</v>
      </c>
      <c r="C48" s="51" t="n">
        <v>22</v>
      </c>
      <c r="D48" s="57" t="n">
        <v>15.9</v>
      </c>
      <c r="E48" s="57" t="n">
        <v>0</v>
      </c>
    </row>
    <row r="49" customFormat="false" ht="15" hidden="false" customHeight="false" outlineLevel="0" collapsed="false">
      <c r="A49" s="55" t="s">
        <v>287</v>
      </c>
      <c r="B49" s="11" t="s">
        <v>173</v>
      </c>
      <c r="C49" s="51" t="n">
        <v>21</v>
      </c>
      <c r="D49" s="57" t="n">
        <v>15.2</v>
      </c>
      <c r="E49" s="57" t="n">
        <v>0</v>
      </c>
    </row>
    <row r="50" customFormat="false" ht="15" hidden="false" customHeight="false" outlineLevel="0" collapsed="false">
      <c r="A50" s="55" t="s">
        <v>288</v>
      </c>
      <c r="B50" s="11" t="s">
        <v>173</v>
      </c>
      <c r="C50" s="51" t="n">
        <v>19</v>
      </c>
      <c r="D50" s="57" t="n">
        <v>13.7</v>
      </c>
      <c r="E50" s="57" t="n">
        <v>0</v>
      </c>
    </row>
    <row r="51" customFormat="false" ht="15" hidden="false" customHeight="false" outlineLevel="0" collapsed="false">
      <c r="A51" s="55" t="s">
        <v>289</v>
      </c>
      <c r="B51" s="11" t="s">
        <v>173</v>
      </c>
      <c r="C51" s="51" t="n">
        <v>18</v>
      </c>
      <c r="D51" s="57" t="n">
        <v>13</v>
      </c>
      <c r="E51" s="57" t="n">
        <v>0</v>
      </c>
    </row>
    <row r="52" customFormat="false" ht="15" hidden="false" customHeight="false" outlineLevel="0" collapsed="false">
      <c r="A52" s="55" t="s">
        <v>48</v>
      </c>
      <c r="B52" s="58" t="s">
        <v>174</v>
      </c>
      <c r="C52" s="51" t="n">
        <v>17</v>
      </c>
      <c r="D52" s="57" t="n">
        <v>12.3</v>
      </c>
      <c r="E52" s="57" t="n">
        <v>0</v>
      </c>
    </row>
    <row r="53" customFormat="false" ht="15" hidden="false" customHeight="false" outlineLevel="0" collapsed="false">
      <c r="A53" s="55" t="s">
        <v>59</v>
      </c>
      <c r="B53" s="58" t="s">
        <v>174</v>
      </c>
      <c r="C53" s="51" t="n">
        <v>16</v>
      </c>
      <c r="D53" s="57" t="n">
        <v>11.6</v>
      </c>
      <c r="E53" s="57" t="n">
        <v>0</v>
      </c>
    </row>
    <row r="56" customFormat="false" ht="15" hidden="false" customHeight="false" outlineLevel="0" collapsed="false">
      <c r="A56" s="46" t="s">
        <v>182</v>
      </c>
      <c r="B56" s="46"/>
      <c r="C56" s="46"/>
      <c r="D56" s="46"/>
      <c r="E56" s="46"/>
      <c r="F56" s="46"/>
    </row>
    <row r="57" customFormat="false" ht="17.15" hidden="false" customHeight="false" outlineLevel="0" collapsed="false">
      <c r="A57" s="5" t="s">
        <v>183</v>
      </c>
      <c r="B57" s="5" t="s">
        <v>184</v>
      </c>
      <c r="C57" s="5" t="s">
        <v>185</v>
      </c>
    </row>
    <row r="58" customFormat="false" ht="15" hidden="false" customHeight="false" outlineLevel="0" collapsed="false">
      <c r="A58" s="11" t="s">
        <v>98</v>
      </c>
      <c r="B58" s="51" t="n">
        <v>44</v>
      </c>
      <c r="C58" s="59" t="n">
        <f aca="false">B58/153</f>
        <v>0.287581699346405</v>
      </c>
    </row>
    <row r="59" customFormat="false" ht="15" hidden="false" customHeight="false" outlineLevel="0" collapsed="false">
      <c r="A59" s="11" t="s">
        <v>96</v>
      </c>
      <c r="B59" s="51" t="n">
        <v>14</v>
      </c>
      <c r="C59" s="59" t="n">
        <f aca="false">B59/153</f>
        <v>0.0915032679738562</v>
      </c>
    </row>
    <row r="60" customFormat="false" ht="15" hidden="false" customHeight="false" outlineLevel="0" collapsed="false">
      <c r="A60" s="11" t="s">
        <v>73</v>
      </c>
      <c r="B60" s="51" t="n">
        <v>6</v>
      </c>
      <c r="C60" s="59" t="n">
        <f aca="false">B60/153</f>
        <v>0.0392156862745098</v>
      </c>
    </row>
    <row r="61" customFormat="false" ht="15" hidden="false" customHeight="false" outlineLevel="0" collapsed="false">
      <c r="A61" s="11" t="s">
        <v>52</v>
      </c>
      <c r="B61" s="51" t="n">
        <v>4</v>
      </c>
      <c r="C61" s="59" t="n">
        <f aca="false">B61/153</f>
        <v>0.0261437908496732</v>
      </c>
    </row>
    <row r="62" customFormat="false" ht="15" hidden="false" customHeight="false" outlineLevel="0" collapsed="false">
      <c r="A62" s="11" t="s">
        <v>97</v>
      </c>
      <c r="B62" s="51" t="n">
        <v>3</v>
      </c>
      <c r="C62" s="59" t="n">
        <f aca="false">B62/153</f>
        <v>0.0196078431372549</v>
      </c>
    </row>
    <row r="63" customFormat="false" ht="15" hidden="false" customHeight="false" outlineLevel="0" collapsed="false">
      <c r="A63" s="11" t="s">
        <v>99</v>
      </c>
      <c r="B63" s="51" t="n">
        <v>1</v>
      </c>
      <c r="C63" s="59" t="n">
        <f aca="false">B63/153</f>
        <v>0.0065359477124183</v>
      </c>
    </row>
    <row r="66" customFormat="false" ht="19.4" hidden="false" customHeight="false" outlineLevel="0" collapsed="false">
      <c r="A66" s="46" t="s">
        <v>186</v>
      </c>
      <c r="B66" s="46"/>
      <c r="C66" s="46"/>
      <c r="D66" s="46"/>
      <c r="E66" s="46"/>
      <c r="F66" s="46"/>
    </row>
    <row r="67" customFormat="false" ht="17.15" hidden="false" customHeight="false" outlineLevel="0" collapsed="false">
      <c r="A67" s="5" t="s">
        <v>187</v>
      </c>
      <c r="B67" s="5" t="s">
        <v>184</v>
      </c>
      <c r="C67" s="5" t="s">
        <v>185</v>
      </c>
    </row>
    <row r="68" customFormat="false" ht="15" hidden="false" customHeight="false" outlineLevel="0" collapsed="false">
      <c r="A68" s="11" t="s">
        <v>76</v>
      </c>
      <c r="B68" s="51" t="n">
        <v>11</v>
      </c>
      <c r="C68" s="59" t="n">
        <f aca="false">B68/153</f>
        <v>0.0718954248366013</v>
      </c>
    </row>
    <row r="69" customFormat="false" ht="15" hidden="false" customHeight="false" outlineLevel="0" collapsed="false">
      <c r="A69" s="11" t="s">
        <v>75</v>
      </c>
      <c r="B69" s="51" t="n">
        <v>9</v>
      </c>
      <c r="C69" s="59" t="n">
        <f aca="false">B69/153</f>
        <v>0.0588235294117647</v>
      </c>
    </row>
    <row r="70" customFormat="false" ht="15" hidden="false" customHeight="false" outlineLevel="0" collapsed="false">
      <c r="A70" s="11" t="s">
        <v>82</v>
      </c>
      <c r="B70" s="51" t="n">
        <v>2</v>
      </c>
      <c r="C70" s="59" t="n">
        <f aca="false">B70/153</f>
        <v>0.0130718954248366</v>
      </c>
    </row>
    <row r="71" customFormat="false" ht="15" hidden="false" customHeight="false" outlineLevel="0" collapsed="false">
      <c r="A71" s="11" t="s">
        <v>87</v>
      </c>
      <c r="B71" s="51" t="n">
        <v>2</v>
      </c>
      <c r="C71" s="59" t="n">
        <f aca="false">B71/153</f>
        <v>0.0130718954248366</v>
      </c>
    </row>
    <row r="72" customFormat="false" ht="15" hidden="false" customHeight="false" outlineLevel="0" collapsed="false">
      <c r="A72" s="11" t="s">
        <v>77</v>
      </c>
      <c r="B72" s="51" t="n">
        <v>1</v>
      </c>
      <c r="C72" s="59" t="n">
        <f aca="false">B72/153</f>
        <v>0.0065359477124183</v>
      </c>
    </row>
    <row r="73" customFormat="false" ht="15" hidden="false" customHeight="false" outlineLevel="0" collapsed="false">
      <c r="A73" s="11" t="s">
        <v>80</v>
      </c>
      <c r="B73" s="51" t="n">
        <v>1</v>
      </c>
      <c r="C73" s="59" t="n">
        <f aca="false">B73/153</f>
        <v>0.0065359477124183</v>
      </c>
    </row>
    <row r="74" customFormat="false" ht="15" hidden="false" customHeight="false" outlineLevel="0" collapsed="false">
      <c r="A74" s="11" t="s">
        <v>84</v>
      </c>
      <c r="B74" s="51" t="n">
        <v>1</v>
      </c>
      <c r="C74" s="59" t="n">
        <f aca="false">B74/153</f>
        <v>0.0065359477124183</v>
      </c>
    </row>
    <row r="77" customFormat="false" ht="19.4" hidden="false" customHeight="false" outlineLevel="0" collapsed="false">
      <c r="A77" s="46" t="s">
        <v>188</v>
      </c>
      <c r="B77" s="46"/>
      <c r="C77" s="46"/>
      <c r="D77" s="46"/>
      <c r="E77" s="46"/>
      <c r="F77" s="46"/>
    </row>
    <row r="78" customFormat="false" ht="42" hidden="false" customHeight="true" outlineLevel="0" collapsed="false">
      <c r="A78" s="60" t="s">
        <v>189</v>
      </c>
      <c r="B78" s="61"/>
      <c r="C78" s="61"/>
      <c r="D78" s="61"/>
      <c r="E78" s="61"/>
      <c r="F78" s="61"/>
    </row>
    <row r="79" customFormat="false" ht="42" hidden="false" customHeight="true" outlineLevel="0" collapsed="false">
      <c r="A79" s="60" t="s">
        <v>189</v>
      </c>
      <c r="B79" s="61" t="s">
        <v>290</v>
      </c>
      <c r="C79" s="61"/>
      <c r="D79" s="61"/>
      <c r="E79" s="61"/>
      <c r="F79" s="61"/>
    </row>
  </sheetData>
  <mergeCells count="10">
    <mergeCell ref="A1:F1"/>
    <mergeCell ref="A2:F2"/>
    <mergeCell ref="A4:F4"/>
    <mergeCell ref="A20:F20"/>
    <mergeCell ref="A37:F37"/>
    <mergeCell ref="A56:F56"/>
    <mergeCell ref="A66:F66"/>
    <mergeCell ref="A77:F77"/>
    <mergeCell ref="B78:F78"/>
    <mergeCell ref="B79:F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35" t="s">
        <v>291</v>
      </c>
      <c r="B1" s="35"/>
      <c r="C1" s="35"/>
      <c r="D1" s="35"/>
      <c r="E1" s="35"/>
      <c r="F1" s="35"/>
    </row>
    <row r="2" customFormat="false" ht="15" hidden="false" customHeight="false" outlineLevel="0" collapsed="false">
      <c r="A2" s="2" t="s">
        <v>292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46" t="s">
        <v>137</v>
      </c>
      <c r="B4" s="46"/>
      <c r="C4" s="46"/>
      <c r="D4" s="46"/>
      <c r="E4" s="46"/>
      <c r="F4" s="46"/>
    </row>
    <row r="5" customFormat="false" ht="30.55" hidden="false" customHeight="false" outlineLevel="0" collapsed="false">
      <c r="A5" s="4" t="s">
        <v>138</v>
      </c>
      <c r="B5" s="5" t="s">
        <v>139</v>
      </c>
      <c r="D5" s="4" t="s">
        <v>140</v>
      </c>
      <c r="E5" s="5" t="s">
        <v>139</v>
      </c>
    </row>
    <row r="6" customFormat="false" ht="15" hidden="false" customHeight="false" outlineLevel="0" collapsed="false">
      <c r="A6" s="39" t="s">
        <v>47</v>
      </c>
      <c r="B6" s="47" t="n">
        <v>55</v>
      </c>
      <c r="D6" s="41" t="s">
        <v>63</v>
      </c>
      <c r="E6" s="48" t="n">
        <v>6</v>
      </c>
    </row>
    <row r="7" customFormat="false" ht="15" hidden="false" customHeight="false" outlineLevel="0" collapsed="false">
      <c r="A7" s="39" t="s">
        <v>50</v>
      </c>
      <c r="B7" s="47" t="n">
        <v>55</v>
      </c>
    </row>
    <row r="8" customFormat="false" ht="15" hidden="false" customHeight="false" outlineLevel="0" collapsed="false">
      <c r="A8" s="39" t="s">
        <v>46</v>
      </c>
      <c r="B8" s="47" t="n">
        <v>25</v>
      </c>
    </row>
    <row r="9" customFormat="false" ht="15" hidden="false" customHeight="false" outlineLevel="0" collapsed="false">
      <c r="A9" s="39" t="s">
        <v>129</v>
      </c>
      <c r="B9" s="47" t="n">
        <v>19</v>
      </c>
    </row>
    <row r="10" customFormat="false" ht="15" hidden="false" customHeight="false" outlineLevel="0" collapsed="false">
      <c r="A10" s="39" t="s">
        <v>51</v>
      </c>
      <c r="B10" s="47" t="n">
        <v>18</v>
      </c>
    </row>
    <row r="11" customFormat="false" ht="15" hidden="false" customHeight="false" outlineLevel="0" collapsed="false">
      <c r="A11" s="39" t="s">
        <v>53</v>
      </c>
      <c r="B11" s="47" t="n">
        <v>12</v>
      </c>
    </row>
    <row r="12" customFormat="false" ht="15" hidden="false" customHeight="false" outlineLevel="0" collapsed="false">
      <c r="A12" s="39" t="s">
        <v>52</v>
      </c>
      <c r="B12" s="47" t="n">
        <v>9</v>
      </c>
    </row>
    <row r="13" customFormat="false" ht="15" hidden="false" customHeight="false" outlineLevel="0" collapsed="false">
      <c r="A13" s="39" t="s">
        <v>215</v>
      </c>
      <c r="B13" s="47" t="n">
        <v>8</v>
      </c>
    </row>
    <row r="14" customFormat="false" ht="15" hidden="false" customHeight="false" outlineLevel="0" collapsed="false">
      <c r="A14" s="39" t="s">
        <v>127</v>
      </c>
      <c r="B14" s="47" t="n">
        <v>7</v>
      </c>
    </row>
    <row r="15" customFormat="false" ht="15" hidden="false" customHeight="false" outlineLevel="0" collapsed="false">
      <c r="A15" s="39" t="s">
        <v>54</v>
      </c>
      <c r="B15" s="47" t="n">
        <v>6</v>
      </c>
    </row>
    <row r="16" customFormat="false" ht="15" hidden="false" customHeight="false" outlineLevel="0" collapsed="false">
      <c r="A16" s="39" t="s">
        <v>152</v>
      </c>
      <c r="B16" s="47" t="n">
        <v>4</v>
      </c>
    </row>
    <row r="17" customFormat="false" ht="15" hidden="false" customHeight="false" outlineLevel="0" collapsed="false">
      <c r="A17" s="39" t="s">
        <v>57</v>
      </c>
      <c r="B17" s="47" t="n">
        <v>4</v>
      </c>
    </row>
    <row r="20" customFormat="false" ht="15" hidden="false" customHeight="false" outlineLevel="0" collapsed="false">
      <c r="A20" s="46" t="s">
        <v>141</v>
      </c>
      <c r="B20" s="46"/>
      <c r="C20" s="46"/>
      <c r="D20" s="46"/>
      <c r="E20" s="46"/>
      <c r="F20" s="46"/>
    </row>
    <row r="21" customFormat="false" ht="17.15" hidden="false" customHeight="false" outlineLevel="0" collapsed="false">
      <c r="A21" s="5" t="s">
        <v>142</v>
      </c>
      <c r="B21" s="5" t="s">
        <v>143</v>
      </c>
      <c r="C21" s="5" t="s">
        <v>144</v>
      </c>
      <c r="D21" s="5" t="s">
        <v>145</v>
      </c>
      <c r="E21" s="5" t="s">
        <v>146</v>
      </c>
    </row>
    <row r="22" customFormat="false" ht="26.85" hidden="false" customHeight="false" outlineLevel="0" collapsed="false">
      <c r="A22" s="7" t="s">
        <v>147</v>
      </c>
      <c r="B22" s="7" t="s">
        <v>148</v>
      </c>
      <c r="C22" s="53" t="s">
        <v>151</v>
      </c>
      <c r="D22" s="49" t="n">
        <v>120</v>
      </c>
      <c r="E22" s="54" t="n">
        <v>0.52</v>
      </c>
    </row>
    <row r="23" customFormat="false" ht="26.85" hidden="false" customHeight="false" outlineLevel="0" collapsed="false">
      <c r="A23" s="11" t="s">
        <v>147</v>
      </c>
      <c r="B23" s="11" t="s">
        <v>148</v>
      </c>
      <c r="C23" s="11" t="s">
        <v>150</v>
      </c>
      <c r="D23" s="51" t="n">
        <v>59</v>
      </c>
      <c r="E23" s="52" t="n">
        <v>0.25</v>
      </c>
    </row>
    <row r="24" customFormat="false" ht="26.85" hidden="false" customHeight="false" outlineLevel="0" collapsed="false">
      <c r="A24" s="7" t="s">
        <v>147</v>
      </c>
      <c r="B24" s="7" t="s">
        <v>148</v>
      </c>
      <c r="C24" s="7" t="s">
        <v>149</v>
      </c>
      <c r="D24" s="49" t="n">
        <v>32</v>
      </c>
      <c r="E24" s="50" t="n">
        <v>0.13</v>
      </c>
    </row>
    <row r="25" customFormat="false" ht="26.85" hidden="false" customHeight="false" outlineLevel="0" collapsed="false">
      <c r="A25" s="11" t="s">
        <v>147</v>
      </c>
      <c r="B25" s="11" t="s">
        <v>148</v>
      </c>
      <c r="C25" s="11" t="s">
        <v>152</v>
      </c>
      <c r="D25" s="51" t="n">
        <v>18</v>
      </c>
      <c r="E25" s="52" t="n">
        <v>0.07</v>
      </c>
    </row>
    <row r="26" customFormat="false" ht="15" hidden="false" customHeight="false" outlineLevel="0" collapsed="false">
      <c r="A26" s="7" t="s">
        <v>153</v>
      </c>
      <c r="B26" s="7" t="s">
        <v>154</v>
      </c>
      <c r="C26" s="7" t="s">
        <v>155</v>
      </c>
      <c r="D26" s="49" t="n">
        <v>6</v>
      </c>
      <c r="E26" s="50" t="n">
        <v>0.4</v>
      </c>
    </row>
    <row r="27" customFormat="false" ht="15" hidden="false" customHeight="false" outlineLevel="0" collapsed="false">
      <c r="A27" s="11" t="s">
        <v>153</v>
      </c>
      <c r="B27" s="11" t="s">
        <v>154</v>
      </c>
      <c r="C27" s="11" t="s">
        <v>156</v>
      </c>
      <c r="D27" s="51" t="n">
        <v>6</v>
      </c>
      <c r="E27" s="52" t="n">
        <v>0.4</v>
      </c>
    </row>
    <row r="28" customFormat="false" ht="15" hidden="false" customHeight="false" outlineLevel="0" collapsed="false">
      <c r="A28" s="7" t="s">
        <v>153</v>
      </c>
      <c r="B28" s="7" t="s">
        <v>154</v>
      </c>
      <c r="C28" s="7" t="s">
        <v>157</v>
      </c>
      <c r="D28" s="49" t="n">
        <v>3</v>
      </c>
      <c r="E28" s="50" t="n">
        <v>0.2</v>
      </c>
    </row>
    <row r="29" customFormat="false" ht="15" hidden="false" customHeight="false" outlineLevel="0" collapsed="false">
      <c r="A29" s="11" t="s">
        <v>158</v>
      </c>
      <c r="B29" s="11" t="s">
        <v>159</v>
      </c>
      <c r="C29" s="55" t="s">
        <v>160</v>
      </c>
      <c r="D29" s="51" t="n">
        <v>175</v>
      </c>
      <c r="E29" s="56" t="n">
        <v>0.76</v>
      </c>
    </row>
    <row r="30" customFormat="false" ht="15" hidden="false" customHeight="false" outlineLevel="0" collapsed="false">
      <c r="A30" s="7" t="s">
        <v>158</v>
      </c>
      <c r="B30" s="7" t="s">
        <v>159</v>
      </c>
      <c r="C30" s="7" t="s">
        <v>156</v>
      </c>
      <c r="D30" s="49" t="n">
        <v>52</v>
      </c>
      <c r="E30" s="50" t="n">
        <v>0.22</v>
      </c>
    </row>
    <row r="31" customFormat="false" ht="15" hidden="false" customHeight="false" outlineLevel="0" collapsed="false">
      <c r="A31" s="11" t="s">
        <v>158</v>
      </c>
      <c r="B31" s="11" t="s">
        <v>159</v>
      </c>
      <c r="C31" s="11" t="s">
        <v>161</v>
      </c>
      <c r="D31" s="51" t="n">
        <v>2</v>
      </c>
      <c r="E31" s="52" t="n">
        <v>0</v>
      </c>
    </row>
    <row r="34" customFormat="false" ht="19.4" hidden="false" customHeight="false" outlineLevel="0" collapsed="false">
      <c r="A34" s="46" t="s">
        <v>167</v>
      </c>
      <c r="B34" s="46"/>
      <c r="C34" s="46"/>
      <c r="D34" s="46"/>
      <c r="E34" s="46"/>
      <c r="F34" s="46"/>
    </row>
    <row r="35" customFormat="false" ht="17.15" hidden="false" customHeight="false" outlineLevel="0" collapsed="false">
      <c r="A35" s="5" t="s">
        <v>168</v>
      </c>
      <c r="B35" s="5" t="s">
        <v>169</v>
      </c>
      <c r="C35" s="5" t="s">
        <v>170</v>
      </c>
      <c r="D35" s="5" t="s">
        <v>171</v>
      </c>
      <c r="E35" s="5" t="s">
        <v>172</v>
      </c>
    </row>
    <row r="36" customFormat="false" ht="15" hidden="false" customHeight="false" outlineLevel="0" collapsed="false">
      <c r="A36" s="55" t="s">
        <v>90</v>
      </c>
      <c r="B36" s="11" t="s">
        <v>173</v>
      </c>
      <c r="C36" s="51" t="n">
        <v>72</v>
      </c>
      <c r="D36" s="57" t="n">
        <v>63.7</v>
      </c>
      <c r="E36" s="57" t="n">
        <v>0</v>
      </c>
    </row>
    <row r="37" customFormat="false" ht="15" hidden="false" customHeight="false" outlineLevel="0" collapsed="false">
      <c r="A37" s="55" t="s">
        <v>47</v>
      </c>
      <c r="B37" s="58" t="s">
        <v>174</v>
      </c>
      <c r="C37" s="51" t="n">
        <v>55</v>
      </c>
      <c r="D37" s="57" t="n">
        <v>48.7</v>
      </c>
      <c r="E37" s="57" t="n">
        <v>0</v>
      </c>
    </row>
    <row r="38" customFormat="false" ht="15" hidden="false" customHeight="false" outlineLevel="0" collapsed="false">
      <c r="A38" s="55" t="s">
        <v>50</v>
      </c>
      <c r="B38" s="58" t="s">
        <v>174</v>
      </c>
      <c r="C38" s="51" t="n">
        <v>55</v>
      </c>
      <c r="D38" s="57" t="n">
        <v>48.7</v>
      </c>
      <c r="E38" s="57" t="n">
        <v>0</v>
      </c>
    </row>
    <row r="39" customFormat="false" ht="15" hidden="false" customHeight="false" outlineLevel="0" collapsed="false">
      <c r="A39" s="55" t="s">
        <v>293</v>
      </c>
      <c r="B39" s="11" t="s">
        <v>173</v>
      </c>
      <c r="C39" s="51" t="n">
        <v>49</v>
      </c>
      <c r="D39" s="57" t="n">
        <v>43.4</v>
      </c>
      <c r="E39" s="57" t="n">
        <v>0</v>
      </c>
    </row>
    <row r="40" customFormat="false" ht="15" hidden="false" customHeight="false" outlineLevel="0" collapsed="false">
      <c r="A40" s="55" t="s">
        <v>294</v>
      </c>
      <c r="B40" s="11" t="s">
        <v>173</v>
      </c>
      <c r="C40" s="51" t="n">
        <v>46</v>
      </c>
      <c r="D40" s="57" t="n">
        <v>40.7</v>
      </c>
      <c r="E40" s="57" t="n">
        <v>0</v>
      </c>
    </row>
    <row r="41" customFormat="false" ht="15" hidden="false" customHeight="false" outlineLevel="0" collapsed="false">
      <c r="A41" s="55" t="s">
        <v>91</v>
      </c>
      <c r="B41" s="11" t="s">
        <v>173</v>
      </c>
      <c r="C41" s="51" t="n">
        <v>38</v>
      </c>
      <c r="D41" s="57" t="n">
        <v>33.6</v>
      </c>
      <c r="E41" s="57" t="n">
        <v>0</v>
      </c>
    </row>
    <row r="42" customFormat="false" ht="15" hidden="false" customHeight="false" outlineLevel="0" collapsed="false">
      <c r="A42" s="55" t="s">
        <v>295</v>
      </c>
      <c r="B42" s="11" t="s">
        <v>173</v>
      </c>
      <c r="C42" s="51" t="n">
        <v>27</v>
      </c>
      <c r="D42" s="57" t="n">
        <v>23.9</v>
      </c>
      <c r="E42" s="57" t="n">
        <v>0</v>
      </c>
    </row>
    <row r="43" customFormat="false" ht="15" hidden="false" customHeight="false" outlineLevel="0" collapsed="false">
      <c r="A43" s="55" t="s">
        <v>296</v>
      </c>
      <c r="B43" s="11" t="s">
        <v>173</v>
      </c>
      <c r="C43" s="51" t="n">
        <v>25</v>
      </c>
      <c r="D43" s="57" t="n">
        <v>22.1</v>
      </c>
      <c r="E43" s="57" t="n">
        <v>0</v>
      </c>
    </row>
    <row r="44" customFormat="false" ht="15" hidden="false" customHeight="false" outlineLevel="0" collapsed="false">
      <c r="A44" s="55" t="s">
        <v>46</v>
      </c>
      <c r="B44" s="58" t="s">
        <v>174</v>
      </c>
      <c r="C44" s="51" t="n">
        <v>25</v>
      </c>
      <c r="D44" s="57" t="n">
        <v>22.1</v>
      </c>
      <c r="E44" s="57" t="n">
        <v>0</v>
      </c>
    </row>
    <row r="45" customFormat="false" ht="15" hidden="false" customHeight="false" outlineLevel="0" collapsed="false">
      <c r="A45" s="55" t="s">
        <v>297</v>
      </c>
      <c r="B45" s="11" t="s">
        <v>173</v>
      </c>
      <c r="C45" s="51" t="n">
        <v>25</v>
      </c>
      <c r="D45" s="57" t="n">
        <v>22.1</v>
      </c>
      <c r="E45" s="57" t="n">
        <v>0</v>
      </c>
    </row>
    <row r="46" customFormat="false" ht="15" hidden="false" customHeight="false" outlineLevel="0" collapsed="false">
      <c r="A46" s="55" t="s">
        <v>129</v>
      </c>
      <c r="B46" s="58" t="s">
        <v>174</v>
      </c>
      <c r="C46" s="51" t="n">
        <v>19</v>
      </c>
      <c r="D46" s="57" t="n">
        <v>16.8</v>
      </c>
      <c r="E46" s="57" t="n">
        <v>0</v>
      </c>
    </row>
    <row r="47" customFormat="false" ht="15" hidden="false" customHeight="false" outlineLevel="0" collapsed="false">
      <c r="A47" s="55" t="s">
        <v>92</v>
      </c>
      <c r="B47" s="11" t="s">
        <v>173</v>
      </c>
      <c r="C47" s="51" t="n">
        <v>18</v>
      </c>
      <c r="D47" s="57" t="n">
        <v>15.9</v>
      </c>
      <c r="E47" s="57" t="n">
        <v>0</v>
      </c>
    </row>
    <row r="48" customFormat="false" ht="15" hidden="false" customHeight="false" outlineLevel="0" collapsed="false">
      <c r="A48" s="55" t="s">
        <v>51</v>
      </c>
      <c r="B48" s="58" t="s">
        <v>174</v>
      </c>
      <c r="C48" s="51" t="n">
        <v>18</v>
      </c>
      <c r="D48" s="57" t="n">
        <v>15.9</v>
      </c>
      <c r="E48" s="57" t="n">
        <v>0</v>
      </c>
    </row>
    <row r="49" customFormat="false" ht="15" hidden="false" customHeight="false" outlineLevel="0" collapsed="false">
      <c r="A49" s="55" t="s">
        <v>298</v>
      </c>
      <c r="B49" s="11" t="s">
        <v>173</v>
      </c>
      <c r="C49" s="51" t="n">
        <v>16</v>
      </c>
      <c r="D49" s="57" t="n">
        <v>14.2</v>
      </c>
      <c r="E49" s="57" t="n">
        <v>0</v>
      </c>
    </row>
    <row r="50" customFormat="false" ht="15" hidden="false" customHeight="false" outlineLevel="0" collapsed="false">
      <c r="A50" s="55" t="s">
        <v>289</v>
      </c>
      <c r="B50" s="11" t="s">
        <v>173</v>
      </c>
      <c r="C50" s="51" t="n">
        <v>14</v>
      </c>
      <c r="D50" s="57" t="n">
        <v>12.4</v>
      </c>
      <c r="E50" s="57" t="n">
        <v>0</v>
      </c>
    </row>
    <row r="53" customFormat="false" ht="15" hidden="false" customHeight="false" outlineLevel="0" collapsed="false">
      <c r="A53" s="46" t="s">
        <v>182</v>
      </c>
      <c r="B53" s="46"/>
      <c r="C53" s="46"/>
      <c r="D53" s="46"/>
      <c r="E53" s="46"/>
      <c r="F53" s="46"/>
    </row>
    <row r="54" customFormat="false" ht="17.15" hidden="false" customHeight="false" outlineLevel="0" collapsed="false">
      <c r="A54" s="5" t="s">
        <v>183</v>
      </c>
      <c r="B54" s="5" t="s">
        <v>184</v>
      </c>
      <c r="C54" s="5" t="s">
        <v>185</v>
      </c>
    </row>
    <row r="55" customFormat="false" ht="15" hidden="false" customHeight="false" outlineLevel="0" collapsed="false">
      <c r="A55" s="11" t="s">
        <v>97</v>
      </c>
      <c r="B55" s="51" t="n">
        <v>2</v>
      </c>
      <c r="C55" s="59" t="n">
        <f aca="false">B55/118</f>
        <v>0.0169491525423729</v>
      </c>
    </row>
    <row r="56" customFormat="false" ht="15" hidden="false" customHeight="false" outlineLevel="0" collapsed="false">
      <c r="A56" s="11" t="s">
        <v>99</v>
      </c>
      <c r="B56" s="51" t="n">
        <v>2</v>
      </c>
      <c r="C56" s="59" t="n">
        <f aca="false">B56/118</f>
        <v>0.0169491525423729</v>
      </c>
    </row>
    <row r="57" customFormat="false" ht="15" hidden="false" customHeight="false" outlineLevel="0" collapsed="false">
      <c r="A57" s="11" t="s">
        <v>52</v>
      </c>
      <c r="B57" s="51" t="n">
        <v>2</v>
      </c>
      <c r="C57" s="59" t="n">
        <f aca="false">B57/118</f>
        <v>0.0169491525423729</v>
      </c>
    </row>
    <row r="58" customFormat="false" ht="15" hidden="false" customHeight="false" outlineLevel="0" collapsed="false">
      <c r="A58" s="11" t="s">
        <v>101</v>
      </c>
      <c r="B58" s="51" t="n">
        <v>1</v>
      </c>
      <c r="C58" s="59" t="n">
        <f aca="false">B58/118</f>
        <v>0.00847457627118644</v>
      </c>
    </row>
    <row r="59" customFormat="false" ht="15" hidden="false" customHeight="false" outlineLevel="0" collapsed="false">
      <c r="A59" s="11" t="s">
        <v>100</v>
      </c>
      <c r="B59" s="51" t="n">
        <v>1</v>
      </c>
      <c r="C59" s="59" t="n">
        <f aca="false">B59/118</f>
        <v>0.00847457627118644</v>
      </c>
    </row>
    <row r="62" customFormat="false" ht="19.4" hidden="false" customHeight="false" outlineLevel="0" collapsed="false">
      <c r="A62" s="46" t="s">
        <v>186</v>
      </c>
      <c r="B62" s="46"/>
      <c r="C62" s="46"/>
      <c r="D62" s="46"/>
      <c r="E62" s="46"/>
      <c r="F62" s="46"/>
    </row>
    <row r="63" customFormat="false" ht="17.15" hidden="false" customHeight="false" outlineLevel="0" collapsed="false">
      <c r="A63" s="5" t="s">
        <v>187</v>
      </c>
      <c r="B63" s="5" t="s">
        <v>184</v>
      </c>
      <c r="C63" s="5" t="s">
        <v>185</v>
      </c>
    </row>
    <row r="64" customFormat="false" ht="15" hidden="false" customHeight="false" outlineLevel="0" collapsed="false">
      <c r="A64" s="11" t="s">
        <v>76</v>
      </c>
      <c r="B64" s="51" t="n">
        <v>19</v>
      </c>
      <c r="C64" s="59" t="n">
        <f aca="false">B64/118</f>
        <v>0.161016949152542</v>
      </c>
    </row>
    <row r="65" customFormat="false" ht="15" hidden="false" customHeight="false" outlineLevel="0" collapsed="false">
      <c r="A65" s="11" t="s">
        <v>75</v>
      </c>
      <c r="B65" s="51" t="n">
        <v>6</v>
      </c>
      <c r="C65" s="59" t="n">
        <f aca="false">B65/118</f>
        <v>0.0508474576271187</v>
      </c>
    </row>
    <row r="66" customFormat="false" ht="15" hidden="false" customHeight="false" outlineLevel="0" collapsed="false">
      <c r="A66" s="11" t="s">
        <v>82</v>
      </c>
      <c r="B66" s="51" t="n">
        <v>4</v>
      </c>
      <c r="C66" s="59" t="n">
        <f aca="false">B66/118</f>
        <v>0.0338983050847458</v>
      </c>
    </row>
    <row r="67" customFormat="false" ht="15" hidden="false" customHeight="false" outlineLevel="0" collapsed="false">
      <c r="A67" s="11" t="s">
        <v>84</v>
      </c>
      <c r="B67" s="51" t="n">
        <v>3</v>
      </c>
      <c r="C67" s="59" t="n">
        <f aca="false">B67/118</f>
        <v>0.0254237288135593</v>
      </c>
    </row>
    <row r="68" customFormat="false" ht="15" hidden="false" customHeight="false" outlineLevel="0" collapsed="false">
      <c r="A68" s="11" t="s">
        <v>87</v>
      </c>
      <c r="B68" s="51" t="n">
        <v>2</v>
      </c>
      <c r="C68" s="59" t="n">
        <f aca="false">B68/118</f>
        <v>0.0169491525423729</v>
      </c>
    </row>
    <row r="69" customFormat="false" ht="15" hidden="false" customHeight="false" outlineLevel="0" collapsed="false">
      <c r="A69" s="11" t="s">
        <v>77</v>
      </c>
      <c r="B69" s="51" t="n">
        <v>1</v>
      </c>
      <c r="C69" s="59" t="n">
        <f aca="false">B69/118</f>
        <v>0.00847457627118644</v>
      </c>
    </row>
    <row r="70" customFormat="false" ht="15" hidden="false" customHeight="false" outlineLevel="0" collapsed="false">
      <c r="A70" s="11" t="s">
        <v>85</v>
      </c>
      <c r="B70" s="51" t="n">
        <v>1</v>
      </c>
      <c r="C70" s="59" t="n">
        <f aca="false">B70/118</f>
        <v>0.00847457627118644</v>
      </c>
    </row>
    <row r="71" customFormat="false" ht="15" hidden="false" customHeight="false" outlineLevel="0" collapsed="false">
      <c r="A71" s="11" t="s">
        <v>81</v>
      </c>
      <c r="B71" s="51" t="n">
        <v>1</v>
      </c>
      <c r="C71" s="59" t="n">
        <f aca="false">B71/118</f>
        <v>0.00847457627118644</v>
      </c>
    </row>
    <row r="74" customFormat="false" ht="19.4" hidden="false" customHeight="false" outlineLevel="0" collapsed="false">
      <c r="A74" s="46" t="s">
        <v>188</v>
      </c>
      <c r="B74" s="46"/>
      <c r="C74" s="46"/>
      <c r="D74" s="46"/>
      <c r="E74" s="46"/>
      <c r="F74" s="46"/>
    </row>
    <row r="75" customFormat="false" ht="42" hidden="false" customHeight="true" outlineLevel="0" collapsed="false">
      <c r="A75" s="60" t="s">
        <v>200</v>
      </c>
      <c r="B75" s="61"/>
      <c r="C75" s="61"/>
      <c r="D75" s="61"/>
      <c r="E75" s="61"/>
      <c r="F75" s="61"/>
    </row>
    <row r="76" customFormat="false" ht="42" hidden="false" customHeight="true" outlineLevel="0" collapsed="false">
      <c r="A76" s="60" t="s">
        <v>199</v>
      </c>
      <c r="B76" s="61" t="s">
        <v>299</v>
      </c>
      <c r="C76" s="61"/>
      <c r="D76" s="61"/>
      <c r="E76" s="61"/>
      <c r="F76" s="61"/>
    </row>
  </sheetData>
  <mergeCells count="10">
    <mergeCell ref="A1:F1"/>
    <mergeCell ref="A2:F2"/>
    <mergeCell ref="A4:F4"/>
    <mergeCell ref="A20:F20"/>
    <mergeCell ref="A34:F34"/>
    <mergeCell ref="A53:F53"/>
    <mergeCell ref="A62:F62"/>
    <mergeCell ref="A74:F74"/>
    <mergeCell ref="B75:F75"/>
    <mergeCell ref="B76:F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35" t="s">
        <v>300</v>
      </c>
      <c r="B1" s="35"/>
      <c r="C1" s="35"/>
      <c r="D1" s="35"/>
      <c r="E1" s="35"/>
      <c r="F1" s="35"/>
    </row>
    <row r="2" customFormat="false" ht="15" hidden="false" customHeight="false" outlineLevel="0" collapsed="false">
      <c r="A2" s="2" t="s">
        <v>301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46" t="s">
        <v>137</v>
      </c>
      <c r="B4" s="46"/>
      <c r="C4" s="46"/>
      <c r="D4" s="46"/>
      <c r="E4" s="46"/>
      <c r="F4" s="46"/>
    </row>
    <row r="5" customFormat="false" ht="30.55" hidden="false" customHeight="false" outlineLevel="0" collapsed="false">
      <c r="A5" s="4" t="s">
        <v>138</v>
      </c>
      <c r="B5" s="5" t="s">
        <v>139</v>
      </c>
      <c r="D5" s="4" t="s">
        <v>140</v>
      </c>
      <c r="E5" s="5" t="s">
        <v>139</v>
      </c>
    </row>
    <row r="6" customFormat="false" ht="15" hidden="false" customHeight="false" outlineLevel="0" collapsed="false">
      <c r="A6" s="39" t="s">
        <v>47</v>
      </c>
      <c r="B6" s="47" t="n">
        <v>87</v>
      </c>
      <c r="D6" s="41" t="s">
        <v>62</v>
      </c>
      <c r="E6" s="48" t="n">
        <v>9</v>
      </c>
    </row>
    <row r="7" customFormat="false" ht="15" hidden="false" customHeight="false" outlineLevel="0" collapsed="false">
      <c r="A7" s="39" t="s">
        <v>46</v>
      </c>
      <c r="B7" s="47" t="n">
        <v>69</v>
      </c>
    </row>
    <row r="8" customFormat="false" ht="15" hidden="false" customHeight="false" outlineLevel="0" collapsed="false">
      <c r="A8" s="39" t="s">
        <v>49</v>
      </c>
      <c r="B8" s="47" t="n">
        <v>64</v>
      </c>
    </row>
    <row r="9" customFormat="false" ht="15" hidden="false" customHeight="false" outlineLevel="0" collapsed="false">
      <c r="A9" s="39" t="s">
        <v>50</v>
      </c>
      <c r="B9" s="47" t="n">
        <v>58</v>
      </c>
    </row>
    <row r="10" customFormat="false" ht="15" hidden="false" customHeight="false" outlineLevel="0" collapsed="false">
      <c r="A10" s="39" t="s">
        <v>48</v>
      </c>
      <c r="B10" s="47" t="n">
        <v>44</v>
      </c>
    </row>
    <row r="11" customFormat="false" ht="15" hidden="false" customHeight="false" outlineLevel="0" collapsed="false">
      <c r="A11" s="39" t="s">
        <v>127</v>
      </c>
      <c r="B11" s="47" t="n">
        <v>23</v>
      </c>
    </row>
    <row r="12" customFormat="false" ht="15" hidden="false" customHeight="false" outlineLevel="0" collapsed="false">
      <c r="A12" s="39" t="s">
        <v>56</v>
      </c>
      <c r="B12" s="47" t="n">
        <v>20</v>
      </c>
    </row>
    <row r="13" customFormat="false" ht="15" hidden="false" customHeight="false" outlineLevel="0" collapsed="false">
      <c r="A13" s="39" t="s">
        <v>96</v>
      </c>
      <c r="B13" s="47" t="n">
        <v>19</v>
      </c>
    </row>
    <row r="14" customFormat="false" ht="15" hidden="false" customHeight="false" outlineLevel="0" collapsed="false">
      <c r="A14" s="39" t="s">
        <v>51</v>
      </c>
      <c r="B14" s="47" t="n">
        <v>18</v>
      </c>
    </row>
    <row r="15" customFormat="false" ht="15" hidden="false" customHeight="false" outlineLevel="0" collapsed="false">
      <c r="A15" s="39" t="s">
        <v>53</v>
      </c>
      <c r="B15" s="47" t="n">
        <v>18</v>
      </c>
    </row>
    <row r="16" customFormat="false" ht="15" hidden="false" customHeight="false" outlineLevel="0" collapsed="false">
      <c r="A16" s="39" t="s">
        <v>52</v>
      </c>
      <c r="B16" s="47" t="n">
        <v>17</v>
      </c>
    </row>
    <row r="17" customFormat="false" ht="15" hidden="false" customHeight="false" outlineLevel="0" collapsed="false">
      <c r="A17" s="39" t="s">
        <v>244</v>
      </c>
      <c r="B17" s="47" t="n">
        <v>17</v>
      </c>
    </row>
    <row r="20" customFormat="false" ht="15" hidden="false" customHeight="false" outlineLevel="0" collapsed="false">
      <c r="A20" s="46" t="s">
        <v>141</v>
      </c>
      <c r="B20" s="46"/>
      <c r="C20" s="46"/>
      <c r="D20" s="46"/>
      <c r="E20" s="46"/>
      <c r="F20" s="46"/>
    </row>
    <row r="21" customFormat="false" ht="17.15" hidden="false" customHeight="false" outlineLevel="0" collapsed="false">
      <c r="A21" s="5" t="s">
        <v>142</v>
      </c>
      <c r="B21" s="5" t="s">
        <v>143</v>
      </c>
      <c r="C21" s="5" t="s">
        <v>144</v>
      </c>
      <c r="D21" s="5" t="s">
        <v>145</v>
      </c>
      <c r="E21" s="5" t="s">
        <v>146</v>
      </c>
    </row>
    <row r="22" customFormat="false" ht="26.85" hidden="false" customHeight="false" outlineLevel="0" collapsed="false">
      <c r="A22" s="7" t="s">
        <v>147</v>
      </c>
      <c r="B22" s="7" t="s">
        <v>148</v>
      </c>
      <c r="C22" s="53" t="s">
        <v>150</v>
      </c>
      <c r="D22" s="49" t="n">
        <v>18</v>
      </c>
      <c r="E22" s="54" t="n">
        <v>0.54</v>
      </c>
    </row>
    <row r="23" customFormat="false" ht="26.85" hidden="false" customHeight="false" outlineLevel="0" collapsed="false">
      <c r="A23" s="11" t="s">
        <v>147</v>
      </c>
      <c r="B23" s="11" t="s">
        <v>148</v>
      </c>
      <c r="C23" s="11" t="s">
        <v>149</v>
      </c>
      <c r="D23" s="51" t="n">
        <v>9</v>
      </c>
      <c r="E23" s="52" t="n">
        <v>0.27</v>
      </c>
    </row>
    <row r="24" customFormat="false" ht="26.85" hidden="false" customHeight="false" outlineLevel="0" collapsed="false">
      <c r="A24" s="7" t="s">
        <v>147</v>
      </c>
      <c r="B24" s="7" t="s">
        <v>148</v>
      </c>
      <c r="C24" s="7" t="s">
        <v>151</v>
      </c>
      <c r="D24" s="49" t="n">
        <v>6</v>
      </c>
      <c r="E24" s="50" t="n">
        <v>0.18</v>
      </c>
    </row>
    <row r="25" customFormat="false" ht="26.85" hidden="false" customHeight="false" outlineLevel="0" collapsed="false">
      <c r="A25" s="11" t="s">
        <v>147</v>
      </c>
      <c r="B25" s="11" t="s">
        <v>148</v>
      </c>
      <c r="C25" s="11" t="s">
        <v>152</v>
      </c>
      <c r="D25" s="51" t="n">
        <v>0</v>
      </c>
      <c r="E25" s="52" t="n">
        <v>0</v>
      </c>
    </row>
    <row r="26" customFormat="false" ht="15" hidden="false" customHeight="false" outlineLevel="0" collapsed="false">
      <c r="A26" s="7" t="s">
        <v>153</v>
      </c>
      <c r="B26" s="7" t="s">
        <v>154</v>
      </c>
      <c r="C26" s="53" t="s">
        <v>155</v>
      </c>
      <c r="D26" s="49" t="n">
        <v>246</v>
      </c>
      <c r="E26" s="54" t="n">
        <v>0.79</v>
      </c>
    </row>
    <row r="27" customFormat="false" ht="15" hidden="false" customHeight="false" outlineLevel="0" collapsed="false">
      <c r="A27" s="11" t="s">
        <v>153</v>
      </c>
      <c r="B27" s="11" t="s">
        <v>154</v>
      </c>
      <c r="C27" s="11" t="s">
        <v>156</v>
      </c>
      <c r="D27" s="51" t="n">
        <v>60</v>
      </c>
      <c r="E27" s="52" t="n">
        <v>0.19</v>
      </c>
    </row>
    <row r="28" customFormat="false" ht="15" hidden="false" customHeight="false" outlineLevel="0" collapsed="false">
      <c r="A28" s="7" t="s">
        <v>153</v>
      </c>
      <c r="B28" s="7" t="s">
        <v>154</v>
      </c>
      <c r="C28" s="7" t="s">
        <v>157</v>
      </c>
      <c r="D28" s="49" t="n">
        <v>3</v>
      </c>
      <c r="E28" s="50" t="n">
        <v>0</v>
      </c>
    </row>
    <row r="29" customFormat="false" ht="15" hidden="false" customHeight="false" outlineLevel="0" collapsed="false">
      <c r="A29" s="11" t="s">
        <v>158</v>
      </c>
      <c r="B29" s="11" t="s">
        <v>159</v>
      </c>
      <c r="C29" s="55" t="s">
        <v>160</v>
      </c>
      <c r="D29" s="51" t="n">
        <v>261</v>
      </c>
      <c r="E29" s="56" t="n">
        <v>0.84</v>
      </c>
    </row>
    <row r="30" customFormat="false" ht="15" hidden="false" customHeight="false" outlineLevel="0" collapsed="false">
      <c r="A30" s="7" t="s">
        <v>158</v>
      </c>
      <c r="B30" s="7" t="s">
        <v>159</v>
      </c>
      <c r="C30" s="7" t="s">
        <v>156</v>
      </c>
      <c r="D30" s="49" t="n">
        <v>48</v>
      </c>
      <c r="E30" s="50" t="n">
        <v>0.15</v>
      </c>
    </row>
    <row r="31" customFormat="false" ht="15" hidden="false" customHeight="false" outlineLevel="0" collapsed="false">
      <c r="A31" s="11" t="s">
        <v>158</v>
      </c>
      <c r="B31" s="11" t="s">
        <v>159</v>
      </c>
      <c r="C31" s="11" t="s">
        <v>161</v>
      </c>
      <c r="D31" s="51" t="n">
        <v>0</v>
      </c>
      <c r="E31" s="52" t="n">
        <v>0</v>
      </c>
    </row>
    <row r="34" customFormat="false" ht="19.4" hidden="false" customHeight="false" outlineLevel="0" collapsed="false">
      <c r="A34" s="46" t="s">
        <v>167</v>
      </c>
      <c r="B34" s="46"/>
      <c r="C34" s="46"/>
      <c r="D34" s="46"/>
      <c r="E34" s="46"/>
      <c r="F34" s="46"/>
    </row>
    <row r="35" customFormat="false" ht="17.15" hidden="false" customHeight="false" outlineLevel="0" collapsed="false">
      <c r="A35" s="5" t="s">
        <v>168</v>
      </c>
      <c r="B35" s="5" t="s">
        <v>169</v>
      </c>
      <c r="C35" s="5" t="s">
        <v>170</v>
      </c>
      <c r="D35" s="5" t="s">
        <v>171</v>
      </c>
      <c r="E35" s="5" t="s">
        <v>172</v>
      </c>
    </row>
    <row r="36" customFormat="false" ht="15" hidden="false" customHeight="false" outlineLevel="0" collapsed="false">
      <c r="A36" s="55" t="s">
        <v>47</v>
      </c>
      <c r="B36" s="58" t="s">
        <v>174</v>
      </c>
      <c r="C36" s="51" t="n">
        <v>87</v>
      </c>
      <c r="D36" s="57" t="n">
        <v>68.6</v>
      </c>
      <c r="E36" s="57" t="n">
        <v>0</v>
      </c>
    </row>
    <row r="37" customFormat="false" ht="15" hidden="false" customHeight="false" outlineLevel="0" collapsed="false">
      <c r="A37" s="55" t="s">
        <v>49</v>
      </c>
      <c r="B37" s="58" t="s">
        <v>174</v>
      </c>
      <c r="C37" s="51" t="n">
        <v>62</v>
      </c>
      <c r="D37" s="57" t="n">
        <v>48.9</v>
      </c>
      <c r="E37" s="57" t="n">
        <v>0</v>
      </c>
    </row>
    <row r="38" customFormat="false" ht="15" hidden="false" customHeight="false" outlineLevel="0" collapsed="false">
      <c r="A38" s="55" t="s">
        <v>50</v>
      </c>
      <c r="B38" s="58" t="s">
        <v>174</v>
      </c>
      <c r="C38" s="51" t="n">
        <v>56</v>
      </c>
      <c r="D38" s="57" t="n">
        <v>44.1</v>
      </c>
      <c r="E38" s="57" t="n">
        <v>0</v>
      </c>
    </row>
    <row r="39" customFormat="false" ht="15" hidden="false" customHeight="false" outlineLevel="0" collapsed="false">
      <c r="A39" s="55" t="s">
        <v>90</v>
      </c>
      <c r="B39" s="11" t="s">
        <v>173</v>
      </c>
      <c r="C39" s="51" t="n">
        <v>49</v>
      </c>
      <c r="D39" s="57" t="n">
        <v>38.6</v>
      </c>
      <c r="E39" s="57" t="n">
        <v>0</v>
      </c>
    </row>
    <row r="40" customFormat="false" ht="15" hidden="false" customHeight="false" outlineLevel="0" collapsed="false">
      <c r="A40" s="55" t="s">
        <v>91</v>
      </c>
      <c r="B40" s="11" t="s">
        <v>173</v>
      </c>
      <c r="C40" s="51" t="n">
        <v>44</v>
      </c>
      <c r="D40" s="57" t="n">
        <v>34.7</v>
      </c>
      <c r="E40" s="57" t="n">
        <v>0</v>
      </c>
    </row>
    <row r="41" customFormat="false" ht="15" hidden="false" customHeight="false" outlineLevel="0" collapsed="false">
      <c r="A41" s="55" t="s">
        <v>48</v>
      </c>
      <c r="B41" s="58" t="s">
        <v>174</v>
      </c>
      <c r="C41" s="51" t="n">
        <v>42</v>
      </c>
      <c r="D41" s="57" t="n">
        <v>33.1</v>
      </c>
      <c r="E41" s="57" t="n">
        <v>0</v>
      </c>
    </row>
    <row r="42" customFormat="false" ht="15" hidden="false" customHeight="false" outlineLevel="0" collapsed="false">
      <c r="A42" s="55" t="s">
        <v>127</v>
      </c>
      <c r="B42" s="58" t="s">
        <v>174</v>
      </c>
      <c r="C42" s="51" t="n">
        <v>23</v>
      </c>
      <c r="D42" s="57" t="n">
        <v>18.1</v>
      </c>
      <c r="E42" s="57" t="n">
        <v>0</v>
      </c>
    </row>
    <row r="43" customFormat="false" ht="15" hidden="false" customHeight="false" outlineLevel="0" collapsed="false">
      <c r="A43" s="55" t="s">
        <v>287</v>
      </c>
      <c r="B43" s="11" t="s">
        <v>173</v>
      </c>
      <c r="C43" s="51" t="n">
        <v>23</v>
      </c>
      <c r="D43" s="57" t="n">
        <v>18.1</v>
      </c>
      <c r="E43" s="57" t="n">
        <v>0</v>
      </c>
    </row>
    <row r="44" customFormat="false" ht="15" hidden="false" customHeight="false" outlineLevel="0" collapsed="false">
      <c r="A44" s="55" t="s">
        <v>293</v>
      </c>
      <c r="B44" s="11" t="s">
        <v>173</v>
      </c>
      <c r="C44" s="51" t="n">
        <v>20</v>
      </c>
      <c r="D44" s="57" t="n">
        <v>15.8</v>
      </c>
      <c r="E44" s="57" t="n">
        <v>0</v>
      </c>
    </row>
    <row r="45" customFormat="false" ht="15" hidden="false" customHeight="false" outlineLevel="0" collapsed="false">
      <c r="A45" s="55" t="s">
        <v>56</v>
      </c>
      <c r="B45" s="58" t="s">
        <v>174</v>
      </c>
      <c r="C45" s="51" t="n">
        <v>20</v>
      </c>
      <c r="D45" s="57" t="n">
        <v>15.8</v>
      </c>
      <c r="E45" s="57" t="n">
        <v>0</v>
      </c>
    </row>
    <row r="46" customFormat="false" ht="15" hidden="false" customHeight="false" outlineLevel="0" collapsed="false">
      <c r="A46" s="55" t="s">
        <v>96</v>
      </c>
      <c r="B46" s="58" t="s">
        <v>174</v>
      </c>
      <c r="C46" s="51" t="n">
        <v>19</v>
      </c>
      <c r="D46" s="57" t="n">
        <v>15</v>
      </c>
      <c r="E46" s="57" t="n">
        <v>0</v>
      </c>
    </row>
    <row r="47" customFormat="false" ht="15" hidden="false" customHeight="false" outlineLevel="0" collapsed="false">
      <c r="A47" s="55" t="s">
        <v>52</v>
      </c>
      <c r="B47" s="58" t="s">
        <v>174</v>
      </c>
      <c r="C47" s="51" t="n">
        <v>17</v>
      </c>
      <c r="D47" s="57" t="n">
        <v>13.4</v>
      </c>
      <c r="E47" s="57" t="n">
        <v>0</v>
      </c>
    </row>
    <row r="48" customFormat="false" ht="15" hidden="false" customHeight="false" outlineLevel="0" collapsed="false">
      <c r="A48" s="55" t="s">
        <v>244</v>
      </c>
      <c r="B48" s="58" t="s">
        <v>174</v>
      </c>
      <c r="C48" s="51" t="n">
        <v>17</v>
      </c>
      <c r="D48" s="57" t="n">
        <v>13.4</v>
      </c>
      <c r="E48" s="57" t="n">
        <v>0</v>
      </c>
    </row>
    <row r="49" customFormat="false" ht="15" hidden="false" customHeight="false" outlineLevel="0" collapsed="false">
      <c r="A49" s="55" t="s">
        <v>51</v>
      </c>
      <c r="B49" s="58" t="s">
        <v>174</v>
      </c>
      <c r="C49" s="51" t="n">
        <v>16</v>
      </c>
      <c r="D49" s="57" t="n">
        <v>12.6</v>
      </c>
      <c r="E49" s="57" t="n">
        <v>0</v>
      </c>
    </row>
    <row r="50" customFormat="false" ht="15" hidden="false" customHeight="false" outlineLevel="0" collapsed="false">
      <c r="A50" s="55" t="s">
        <v>53</v>
      </c>
      <c r="B50" s="58" t="s">
        <v>174</v>
      </c>
      <c r="C50" s="51" t="n">
        <v>16</v>
      </c>
      <c r="D50" s="57" t="n">
        <v>12.6</v>
      </c>
      <c r="E50" s="57" t="n">
        <v>0</v>
      </c>
    </row>
    <row r="53" customFormat="false" ht="15" hidden="false" customHeight="false" outlineLevel="0" collapsed="false">
      <c r="A53" s="46" t="s">
        <v>182</v>
      </c>
      <c r="B53" s="46"/>
      <c r="C53" s="46"/>
      <c r="D53" s="46"/>
      <c r="E53" s="46"/>
      <c r="F53" s="46"/>
    </row>
    <row r="54" customFormat="false" ht="17.15" hidden="false" customHeight="false" outlineLevel="0" collapsed="false">
      <c r="A54" s="5" t="s">
        <v>183</v>
      </c>
      <c r="B54" s="5" t="s">
        <v>184</v>
      </c>
      <c r="C54" s="5" t="s">
        <v>185</v>
      </c>
    </row>
    <row r="55" customFormat="false" ht="15" hidden="false" customHeight="false" outlineLevel="0" collapsed="false">
      <c r="A55" s="11" t="s">
        <v>52</v>
      </c>
      <c r="B55" s="51" t="n">
        <v>7</v>
      </c>
      <c r="C55" s="59" t="n">
        <f aca="false">B55/109</f>
        <v>0.0642201834862385</v>
      </c>
    </row>
    <row r="56" customFormat="false" ht="15" hidden="false" customHeight="false" outlineLevel="0" collapsed="false">
      <c r="A56" s="11" t="s">
        <v>96</v>
      </c>
      <c r="B56" s="51" t="n">
        <v>6</v>
      </c>
      <c r="C56" s="59" t="n">
        <f aca="false">B56/109</f>
        <v>0.055045871559633</v>
      </c>
    </row>
    <row r="57" customFormat="false" ht="15" hidden="false" customHeight="false" outlineLevel="0" collapsed="false">
      <c r="A57" s="11" t="s">
        <v>99</v>
      </c>
      <c r="B57" s="51" t="n">
        <v>4</v>
      </c>
      <c r="C57" s="59" t="n">
        <f aca="false">B57/109</f>
        <v>0.036697247706422</v>
      </c>
    </row>
    <row r="58" customFormat="false" ht="15" hidden="false" customHeight="false" outlineLevel="0" collapsed="false">
      <c r="A58" s="11" t="s">
        <v>101</v>
      </c>
      <c r="B58" s="51" t="n">
        <v>2</v>
      </c>
      <c r="C58" s="59" t="n">
        <f aca="false">B58/109</f>
        <v>0.018348623853211</v>
      </c>
    </row>
    <row r="59" customFormat="false" ht="15" hidden="false" customHeight="false" outlineLevel="0" collapsed="false">
      <c r="A59" s="11" t="s">
        <v>50</v>
      </c>
      <c r="B59" s="51" t="n">
        <v>1</v>
      </c>
      <c r="C59" s="59" t="n">
        <f aca="false">B59/109</f>
        <v>0.00917431192660551</v>
      </c>
    </row>
    <row r="60" customFormat="false" ht="15" hidden="false" customHeight="false" outlineLevel="0" collapsed="false">
      <c r="A60" s="11" t="s">
        <v>100</v>
      </c>
      <c r="B60" s="51" t="n">
        <v>1</v>
      </c>
      <c r="C60" s="59" t="n">
        <f aca="false">B60/109</f>
        <v>0.00917431192660551</v>
      </c>
    </row>
    <row r="61" customFormat="false" ht="15" hidden="false" customHeight="false" outlineLevel="0" collapsed="false">
      <c r="A61" s="11" t="s">
        <v>73</v>
      </c>
      <c r="B61" s="51" t="n">
        <v>1</v>
      </c>
      <c r="C61" s="59" t="n">
        <f aca="false">B61/109</f>
        <v>0.00917431192660551</v>
      </c>
    </row>
    <row r="64" customFormat="false" ht="19.4" hidden="false" customHeight="false" outlineLevel="0" collapsed="false">
      <c r="A64" s="46" t="s">
        <v>186</v>
      </c>
      <c r="B64" s="46"/>
      <c r="C64" s="46"/>
      <c r="D64" s="46"/>
      <c r="E64" s="46"/>
      <c r="F64" s="46"/>
    </row>
    <row r="65" customFormat="false" ht="17.15" hidden="false" customHeight="false" outlineLevel="0" collapsed="false">
      <c r="A65" s="5" t="s">
        <v>187</v>
      </c>
      <c r="B65" s="5" t="s">
        <v>184</v>
      </c>
      <c r="C65" s="5" t="s">
        <v>185</v>
      </c>
    </row>
    <row r="66" customFormat="false" ht="15" hidden="false" customHeight="false" outlineLevel="0" collapsed="false">
      <c r="A66" s="11" t="s">
        <v>76</v>
      </c>
      <c r="B66" s="51" t="n">
        <v>22</v>
      </c>
      <c r="C66" s="59" t="n">
        <f aca="false">B66/109</f>
        <v>0.201834862385321</v>
      </c>
    </row>
    <row r="67" customFormat="false" ht="15" hidden="false" customHeight="false" outlineLevel="0" collapsed="false">
      <c r="A67" s="11" t="s">
        <v>75</v>
      </c>
      <c r="B67" s="51" t="n">
        <v>3</v>
      </c>
      <c r="C67" s="59" t="n">
        <f aca="false">B67/109</f>
        <v>0.0275229357798165</v>
      </c>
    </row>
    <row r="68" customFormat="false" ht="15" hidden="false" customHeight="false" outlineLevel="0" collapsed="false">
      <c r="A68" s="11" t="s">
        <v>81</v>
      </c>
      <c r="B68" s="51" t="n">
        <v>3</v>
      </c>
      <c r="C68" s="59" t="n">
        <f aca="false">B68/109</f>
        <v>0.0275229357798165</v>
      </c>
    </row>
    <row r="69" customFormat="false" ht="15" hidden="false" customHeight="false" outlineLevel="0" collapsed="false">
      <c r="A69" s="11" t="s">
        <v>82</v>
      </c>
      <c r="B69" s="51" t="n">
        <v>2</v>
      </c>
      <c r="C69" s="59" t="n">
        <f aca="false">B69/109</f>
        <v>0.018348623853211</v>
      </c>
    </row>
    <row r="70" customFormat="false" ht="15" hidden="false" customHeight="false" outlineLevel="0" collapsed="false">
      <c r="A70" s="11" t="s">
        <v>87</v>
      </c>
      <c r="B70" s="51" t="n">
        <v>2</v>
      </c>
      <c r="C70" s="59" t="n">
        <f aca="false">B70/109</f>
        <v>0.018348623853211</v>
      </c>
    </row>
    <row r="71" customFormat="false" ht="15" hidden="false" customHeight="false" outlineLevel="0" collapsed="false">
      <c r="A71" s="11" t="s">
        <v>86</v>
      </c>
      <c r="B71" s="51" t="n">
        <v>1</v>
      </c>
      <c r="C71" s="59" t="n">
        <f aca="false">B71/109</f>
        <v>0.00917431192660551</v>
      </c>
    </row>
    <row r="72" customFormat="false" ht="15" hidden="false" customHeight="false" outlineLevel="0" collapsed="false">
      <c r="A72" s="11" t="s">
        <v>84</v>
      </c>
      <c r="B72" s="51" t="n">
        <v>1</v>
      </c>
      <c r="C72" s="59" t="n">
        <f aca="false">B72/109</f>
        <v>0.00917431192660551</v>
      </c>
    </row>
    <row r="75" customFormat="false" ht="19.4" hidden="false" customHeight="false" outlineLevel="0" collapsed="false">
      <c r="A75" s="46" t="s">
        <v>188</v>
      </c>
      <c r="B75" s="46"/>
      <c r="C75" s="46"/>
      <c r="D75" s="46"/>
      <c r="E75" s="46"/>
      <c r="F75" s="46"/>
    </row>
    <row r="76" customFormat="false" ht="42" hidden="false" customHeight="true" outlineLevel="0" collapsed="false">
      <c r="A76" s="60" t="s">
        <v>189</v>
      </c>
      <c r="B76" s="61" t="s">
        <v>302</v>
      </c>
      <c r="C76" s="61"/>
      <c r="D76" s="61"/>
      <c r="E76" s="61"/>
      <c r="F76" s="61"/>
    </row>
    <row r="77" customFormat="false" ht="42" hidden="false" customHeight="true" outlineLevel="0" collapsed="false">
      <c r="A77" s="60" t="s">
        <v>199</v>
      </c>
      <c r="B77" s="61" t="s">
        <v>303</v>
      </c>
      <c r="C77" s="61"/>
      <c r="D77" s="61"/>
      <c r="E77" s="61"/>
      <c r="F77" s="61"/>
    </row>
    <row r="78" customFormat="false" ht="42" hidden="false" customHeight="true" outlineLevel="0" collapsed="false">
      <c r="A78" s="60" t="s">
        <v>189</v>
      </c>
      <c r="B78" s="61" t="s">
        <v>304</v>
      </c>
      <c r="C78" s="61"/>
      <c r="D78" s="61"/>
      <c r="E78" s="61"/>
      <c r="F78" s="61"/>
    </row>
  </sheetData>
  <mergeCells count="11">
    <mergeCell ref="A1:F1"/>
    <mergeCell ref="A2:F2"/>
    <mergeCell ref="A4:F4"/>
    <mergeCell ref="A20:F20"/>
    <mergeCell ref="A34:F34"/>
    <mergeCell ref="A53:F53"/>
    <mergeCell ref="A64:F64"/>
    <mergeCell ref="A75:F75"/>
    <mergeCell ref="B76:F76"/>
    <mergeCell ref="B77:F77"/>
    <mergeCell ref="B78:F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35" t="s">
        <v>305</v>
      </c>
      <c r="B1" s="35"/>
      <c r="C1" s="35"/>
      <c r="D1" s="35"/>
      <c r="E1" s="35"/>
      <c r="F1" s="35"/>
    </row>
    <row r="2" customFormat="false" ht="15" hidden="false" customHeight="false" outlineLevel="0" collapsed="false">
      <c r="A2" s="2" t="s">
        <v>306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46" t="s">
        <v>137</v>
      </c>
      <c r="B4" s="46"/>
      <c r="C4" s="46"/>
      <c r="D4" s="46"/>
      <c r="E4" s="46"/>
      <c r="F4" s="46"/>
    </row>
    <row r="5" customFormat="false" ht="30.55" hidden="false" customHeight="false" outlineLevel="0" collapsed="false">
      <c r="A5" s="4" t="s">
        <v>138</v>
      </c>
      <c r="B5" s="5" t="s">
        <v>139</v>
      </c>
      <c r="D5" s="4" t="s">
        <v>140</v>
      </c>
      <c r="E5" s="5" t="s">
        <v>139</v>
      </c>
    </row>
    <row r="6" customFormat="false" ht="15" hidden="false" customHeight="false" outlineLevel="0" collapsed="false">
      <c r="A6" s="39" t="s">
        <v>47</v>
      </c>
      <c r="B6" s="47" t="n">
        <v>85</v>
      </c>
      <c r="D6" s="41" t="s">
        <v>70</v>
      </c>
      <c r="E6" s="48" t="n">
        <v>46</v>
      </c>
    </row>
    <row r="7" customFormat="false" ht="15" hidden="false" customHeight="false" outlineLevel="0" collapsed="false">
      <c r="A7" s="39" t="s">
        <v>46</v>
      </c>
      <c r="B7" s="47" t="n">
        <v>39</v>
      </c>
      <c r="D7" s="41" t="s">
        <v>72</v>
      </c>
      <c r="E7" s="48" t="n">
        <v>38</v>
      </c>
    </row>
    <row r="8" customFormat="false" ht="15" hidden="false" customHeight="false" outlineLevel="0" collapsed="false">
      <c r="A8" s="39" t="s">
        <v>55</v>
      </c>
      <c r="B8" s="47" t="n">
        <v>30</v>
      </c>
      <c r="D8" s="41" t="s">
        <v>66</v>
      </c>
      <c r="E8" s="48" t="n">
        <v>27</v>
      </c>
    </row>
    <row r="9" customFormat="false" ht="15" hidden="false" customHeight="false" outlineLevel="0" collapsed="false">
      <c r="A9" s="39" t="s">
        <v>48</v>
      </c>
      <c r="B9" s="47" t="n">
        <v>15</v>
      </c>
      <c r="D9" s="41" t="s">
        <v>64</v>
      </c>
      <c r="E9" s="48" t="n">
        <v>17</v>
      </c>
    </row>
    <row r="10" customFormat="false" ht="15" hidden="false" customHeight="false" outlineLevel="0" collapsed="false">
      <c r="A10" s="39" t="s">
        <v>132</v>
      </c>
      <c r="B10" s="47" t="n">
        <v>13</v>
      </c>
      <c r="D10" s="41" t="s">
        <v>133</v>
      </c>
      <c r="E10" s="48" t="n">
        <v>12</v>
      </c>
    </row>
    <row r="11" customFormat="false" ht="15" hidden="false" customHeight="false" outlineLevel="0" collapsed="false">
      <c r="A11" s="39" t="s">
        <v>52</v>
      </c>
      <c r="B11" s="47" t="n">
        <v>12</v>
      </c>
      <c r="D11" s="41" t="s">
        <v>65</v>
      </c>
      <c r="E11" s="48" t="n">
        <v>10</v>
      </c>
    </row>
    <row r="12" customFormat="false" ht="15" hidden="false" customHeight="false" outlineLevel="0" collapsed="false">
      <c r="A12" s="39" t="s">
        <v>50</v>
      </c>
      <c r="B12" s="47" t="n">
        <v>12</v>
      </c>
      <c r="D12" s="41" t="s">
        <v>71</v>
      </c>
      <c r="E12" s="48" t="n">
        <v>8</v>
      </c>
    </row>
    <row r="13" customFormat="false" ht="15" hidden="false" customHeight="false" outlineLevel="0" collapsed="false">
      <c r="A13" s="39" t="s">
        <v>56</v>
      </c>
      <c r="B13" s="47" t="n">
        <v>8</v>
      </c>
      <c r="D13" s="41" t="s">
        <v>62</v>
      </c>
      <c r="E13" s="48" t="n">
        <v>6</v>
      </c>
    </row>
    <row r="14" customFormat="false" ht="15" hidden="false" customHeight="false" outlineLevel="0" collapsed="false">
      <c r="A14" s="39" t="s">
        <v>96</v>
      </c>
      <c r="B14" s="47" t="n">
        <v>7</v>
      </c>
      <c r="D14" s="41" t="s">
        <v>117</v>
      </c>
      <c r="E14" s="48" t="n">
        <v>6</v>
      </c>
    </row>
    <row r="15" customFormat="false" ht="15" hidden="false" customHeight="false" outlineLevel="0" collapsed="false">
      <c r="A15" s="39" t="s">
        <v>277</v>
      </c>
      <c r="B15" s="47" t="n">
        <v>6</v>
      </c>
      <c r="D15" s="41" t="s">
        <v>68</v>
      </c>
      <c r="E15" s="48" t="n">
        <v>4</v>
      </c>
    </row>
    <row r="16" customFormat="false" ht="15" hidden="false" customHeight="false" outlineLevel="0" collapsed="false">
      <c r="A16" s="39" t="s">
        <v>244</v>
      </c>
      <c r="B16" s="47" t="n">
        <v>6</v>
      </c>
      <c r="D16" s="41" t="s">
        <v>69</v>
      </c>
      <c r="E16" s="48" t="n">
        <v>4</v>
      </c>
    </row>
    <row r="17" customFormat="false" ht="15" hidden="false" customHeight="false" outlineLevel="0" collapsed="false">
      <c r="A17" s="39" t="s">
        <v>49</v>
      </c>
      <c r="B17" s="47" t="n">
        <v>6</v>
      </c>
      <c r="D17" s="41" t="s">
        <v>307</v>
      </c>
      <c r="E17" s="48" t="n">
        <v>3</v>
      </c>
    </row>
    <row r="20" customFormat="false" ht="15" hidden="false" customHeight="false" outlineLevel="0" collapsed="false">
      <c r="A20" s="46" t="s">
        <v>141</v>
      </c>
      <c r="B20" s="46"/>
      <c r="C20" s="46"/>
      <c r="D20" s="46"/>
      <c r="E20" s="46"/>
      <c r="F20" s="46"/>
    </row>
    <row r="21" customFormat="false" ht="17.15" hidden="false" customHeight="false" outlineLevel="0" collapsed="false">
      <c r="A21" s="5" t="s">
        <v>142</v>
      </c>
      <c r="B21" s="5" t="s">
        <v>143</v>
      </c>
      <c r="C21" s="5" t="s">
        <v>144</v>
      </c>
      <c r="D21" s="5" t="s">
        <v>145</v>
      </c>
      <c r="E21" s="5" t="s">
        <v>146</v>
      </c>
    </row>
    <row r="22" customFormat="false" ht="26.85" hidden="false" customHeight="false" outlineLevel="0" collapsed="false">
      <c r="A22" s="7" t="s">
        <v>147</v>
      </c>
      <c r="B22" s="7" t="s">
        <v>148</v>
      </c>
      <c r="C22" s="7" t="s">
        <v>150</v>
      </c>
      <c r="D22" s="49" t="n">
        <v>102</v>
      </c>
      <c r="E22" s="50" t="n">
        <v>0.35</v>
      </c>
    </row>
    <row r="23" customFormat="false" ht="26.85" hidden="false" customHeight="false" outlineLevel="0" collapsed="false">
      <c r="A23" s="11" t="s">
        <v>147</v>
      </c>
      <c r="B23" s="11" t="s">
        <v>148</v>
      </c>
      <c r="C23" s="11" t="s">
        <v>151</v>
      </c>
      <c r="D23" s="51" t="n">
        <v>93</v>
      </c>
      <c r="E23" s="52" t="n">
        <v>0.32</v>
      </c>
    </row>
    <row r="24" customFormat="false" ht="26.85" hidden="false" customHeight="false" outlineLevel="0" collapsed="false">
      <c r="A24" s="7" t="s">
        <v>147</v>
      </c>
      <c r="B24" s="7" t="s">
        <v>148</v>
      </c>
      <c r="C24" s="7" t="s">
        <v>149</v>
      </c>
      <c r="D24" s="49" t="n">
        <v>63</v>
      </c>
      <c r="E24" s="50" t="n">
        <v>0.21</v>
      </c>
    </row>
    <row r="25" customFormat="false" ht="26.85" hidden="false" customHeight="false" outlineLevel="0" collapsed="false">
      <c r="A25" s="11" t="s">
        <v>147</v>
      </c>
      <c r="B25" s="11" t="s">
        <v>148</v>
      </c>
      <c r="C25" s="11" t="s">
        <v>152</v>
      </c>
      <c r="D25" s="51" t="n">
        <v>30</v>
      </c>
      <c r="E25" s="52" t="n">
        <v>0.1</v>
      </c>
    </row>
    <row r="26" customFormat="false" ht="15" hidden="false" customHeight="false" outlineLevel="0" collapsed="false">
      <c r="A26" s="7" t="s">
        <v>158</v>
      </c>
      <c r="B26" s="7" t="s">
        <v>159</v>
      </c>
      <c r="C26" s="53" t="s">
        <v>160</v>
      </c>
      <c r="D26" s="49" t="n">
        <v>213</v>
      </c>
      <c r="E26" s="54" t="n">
        <v>0.73</v>
      </c>
    </row>
    <row r="27" customFormat="false" ht="15" hidden="false" customHeight="false" outlineLevel="0" collapsed="false">
      <c r="A27" s="11" t="s">
        <v>158</v>
      </c>
      <c r="B27" s="11" t="s">
        <v>159</v>
      </c>
      <c r="C27" s="11" t="s">
        <v>156</v>
      </c>
      <c r="D27" s="51" t="n">
        <v>72</v>
      </c>
      <c r="E27" s="52" t="n">
        <v>0.25</v>
      </c>
    </row>
    <row r="28" customFormat="false" ht="15" hidden="false" customHeight="false" outlineLevel="0" collapsed="false">
      <c r="A28" s="7" t="s">
        <v>158</v>
      </c>
      <c r="B28" s="7" t="s">
        <v>159</v>
      </c>
      <c r="C28" s="7" t="s">
        <v>161</v>
      </c>
      <c r="D28" s="49" t="n">
        <v>3</v>
      </c>
      <c r="E28" s="50" t="n">
        <v>0.01</v>
      </c>
    </row>
    <row r="29" customFormat="false" ht="15" hidden="false" customHeight="false" outlineLevel="0" collapsed="false">
      <c r="A29" s="11" t="s">
        <v>205</v>
      </c>
      <c r="B29" s="11" t="s">
        <v>206</v>
      </c>
      <c r="C29" s="55" t="s">
        <v>155</v>
      </c>
      <c r="D29" s="51" t="n">
        <v>207</v>
      </c>
      <c r="E29" s="56" t="n">
        <v>0.71</v>
      </c>
    </row>
    <row r="30" customFormat="false" ht="15" hidden="false" customHeight="false" outlineLevel="0" collapsed="false">
      <c r="A30" s="7" t="s">
        <v>205</v>
      </c>
      <c r="B30" s="7" t="s">
        <v>206</v>
      </c>
      <c r="C30" s="7" t="s">
        <v>156</v>
      </c>
      <c r="D30" s="49" t="n">
        <v>72</v>
      </c>
      <c r="E30" s="50" t="n">
        <v>0.25</v>
      </c>
    </row>
    <row r="31" customFormat="false" ht="15" hidden="false" customHeight="false" outlineLevel="0" collapsed="false">
      <c r="A31" s="11" t="s">
        <v>205</v>
      </c>
      <c r="B31" s="11" t="s">
        <v>206</v>
      </c>
      <c r="C31" s="11" t="s">
        <v>157</v>
      </c>
      <c r="D31" s="51" t="n">
        <v>9</v>
      </c>
      <c r="E31" s="52" t="n">
        <v>0.03</v>
      </c>
    </row>
    <row r="34" customFormat="false" ht="19.4" hidden="false" customHeight="false" outlineLevel="0" collapsed="false">
      <c r="A34" s="46" t="s">
        <v>167</v>
      </c>
      <c r="B34" s="46"/>
      <c r="C34" s="46"/>
      <c r="D34" s="46"/>
      <c r="E34" s="46"/>
      <c r="F34" s="46"/>
    </row>
    <row r="35" customFormat="false" ht="17.15" hidden="false" customHeight="false" outlineLevel="0" collapsed="false">
      <c r="A35" s="5" t="s">
        <v>168</v>
      </c>
      <c r="B35" s="5" t="s">
        <v>169</v>
      </c>
      <c r="C35" s="5" t="s">
        <v>170</v>
      </c>
      <c r="D35" s="5" t="s">
        <v>171</v>
      </c>
      <c r="E35" s="5" t="s">
        <v>172</v>
      </c>
    </row>
    <row r="36" customFormat="false" ht="15" hidden="false" customHeight="false" outlineLevel="0" collapsed="false">
      <c r="A36" s="55" t="s">
        <v>47</v>
      </c>
      <c r="B36" s="58" t="s">
        <v>174</v>
      </c>
      <c r="C36" s="51" t="n">
        <v>85</v>
      </c>
      <c r="D36" s="57" t="n">
        <v>79.7</v>
      </c>
      <c r="E36" s="57" t="n">
        <v>0</v>
      </c>
    </row>
    <row r="37" customFormat="false" ht="15" hidden="false" customHeight="false" outlineLevel="0" collapsed="false">
      <c r="A37" s="55" t="s">
        <v>70</v>
      </c>
      <c r="B37" s="15" t="s">
        <v>176</v>
      </c>
      <c r="C37" s="51" t="n">
        <v>46</v>
      </c>
      <c r="D37" s="57" t="n">
        <v>43.2</v>
      </c>
      <c r="E37" s="57" t="n">
        <v>0</v>
      </c>
    </row>
    <row r="38" customFormat="false" ht="15" hidden="false" customHeight="false" outlineLevel="0" collapsed="false">
      <c r="A38" s="55" t="s">
        <v>90</v>
      </c>
      <c r="B38" s="11" t="s">
        <v>173</v>
      </c>
      <c r="C38" s="51" t="n">
        <v>38</v>
      </c>
      <c r="D38" s="57" t="n">
        <v>35.6</v>
      </c>
      <c r="E38" s="57" t="n">
        <v>0</v>
      </c>
    </row>
    <row r="39" customFormat="false" ht="15" hidden="false" customHeight="false" outlineLevel="0" collapsed="false">
      <c r="A39" s="55" t="s">
        <v>46</v>
      </c>
      <c r="B39" s="58" t="s">
        <v>174</v>
      </c>
      <c r="C39" s="51" t="n">
        <v>38</v>
      </c>
      <c r="D39" s="57" t="n">
        <v>35.6</v>
      </c>
      <c r="E39" s="57" t="n">
        <v>0</v>
      </c>
    </row>
    <row r="40" customFormat="false" ht="15" hidden="false" customHeight="false" outlineLevel="0" collapsed="false">
      <c r="A40" s="55" t="s">
        <v>55</v>
      </c>
      <c r="B40" s="58" t="s">
        <v>174</v>
      </c>
      <c r="C40" s="51" t="n">
        <v>28</v>
      </c>
      <c r="D40" s="57" t="n">
        <v>26.3</v>
      </c>
      <c r="E40" s="57" t="n">
        <v>0</v>
      </c>
    </row>
    <row r="41" customFormat="false" ht="15" hidden="false" customHeight="false" outlineLevel="0" collapsed="false">
      <c r="A41" s="55" t="s">
        <v>66</v>
      </c>
      <c r="B41" s="15" t="s">
        <v>176</v>
      </c>
      <c r="C41" s="51" t="n">
        <v>26</v>
      </c>
      <c r="D41" s="57" t="n">
        <v>24.4</v>
      </c>
      <c r="E41" s="57" t="n">
        <v>0</v>
      </c>
    </row>
    <row r="42" customFormat="false" ht="15" hidden="false" customHeight="false" outlineLevel="0" collapsed="false">
      <c r="A42" s="55" t="s">
        <v>91</v>
      </c>
      <c r="B42" s="11" t="s">
        <v>173</v>
      </c>
      <c r="C42" s="51" t="n">
        <v>22</v>
      </c>
      <c r="D42" s="57" t="n">
        <v>20.6</v>
      </c>
      <c r="E42" s="57" t="n">
        <v>0</v>
      </c>
    </row>
    <row r="43" customFormat="false" ht="15" hidden="false" customHeight="false" outlineLevel="0" collapsed="false">
      <c r="A43" s="55" t="s">
        <v>308</v>
      </c>
      <c r="B43" s="11" t="s">
        <v>173</v>
      </c>
      <c r="C43" s="51" t="n">
        <v>20</v>
      </c>
      <c r="D43" s="57" t="n">
        <v>18.8</v>
      </c>
      <c r="E43" s="57" t="n">
        <v>0</v>
      </c>
    </row>
    <row r="44" customFormat="false" ht="15" hidden="false" customHeight="false" outlineLevel="0" collapsed="false">
      <c r="A44" s="55" t="s">
        <v>309</v>
      </c>
      <c r="B44" s="11" t="s">
        <v>173</v>
      </c>
      <c r="C44" s="51" t="n">
        <v>18</v>
      </c>
      <c r="D44" s="57" t="n">
        <v>16.9</v>
      </c>
      <c r="E44" s="57" t="n">
        <v>0</v>
      </c>
    </row>
    <row r="45" customFormat="false" ht="15" hidden="false" customHeight="false" outlineLevel="0" collapsed="false">
      <c r="A45" s="55" t="s">
        <v>48</v>
      </c>
      <c r="B45" s="58" t="s">
        <v>174</v>
      </c>
      <c r="C45" s="51" t="n">
        <v>15</v>
      </c>
      <c r="D45" s="57" t="n">
        <v>14.1</v>
      </c>
      <c r="E45" s="57" t="n">
        <v>0</v>
      </c>
    </row>
    <row r="46" customFormat="false" ht="15" hidden="false" customHeight="false" outlineLevel="0" collapsed="false">
      <c r="A46" s="55" t="s">
        <v>286</v>
      </c>
      <c r="B46" s="11" t="s">
        <v>173</v>
      </c>
      <c r="C46" s="51" t="n">
        <v>14</v>
      </c>
      <c r="D46" s="57" t="n">
        <v>13.1</v>
      </c>
      <c r="E46" s="57" t="n">
        <v>0</v>
      </c>
    </row>
    <row r="47" customFormat="false" ht="15" hidden="false" customHeight="false" outlineLevel="0" collapsed="false">
      <c r="A47" s="55" t="s">
        <v>132</v>
      </c>
      <c r="B47" s="58" t="s">
        <v>174</v>
      </c>
      <c r="C47" s="51" t="n">
        <v>13</v>
      </c>
      <c r="D47" s="57" t="n">
        <v>12.2</v>
      </c>
      <c r="E47" s="57" t="n">
        <v>0</v>
      </c>
    </row>
    <row r="48" customFormat="false" ht="15" hidden="false" customHeight="false" outlineLevel="0" collapsed="false">
      <c r="A48" s="55" t="s">
        <v>133</v>
      </c>
      <c r="B48" s="15" t="s">
        <v>176</v>
      </c>
      <c r="C48" s="51" t="n">
        <v>12</v>
      </c>
      <c r="D48" s="57" t="n">
        <v>11.3</v>
      </c>
      <c r="E48" s="57" t="n">
        <v>0</v>
      </c>
    </row>
    <row r="49" customFormat="false" ht="15" hidden="false" customHeight="false" outlineLevel="0" collapsed="false">
      <c r="A49" s="55" t="s">
        <v>310</v>
      </c>
      <c r="B49" s="11" t="s">
        <v>173</v>
      </c>
      <c r="C49" s="51" t="n">
        <v>12</v>
      </c>
      <c r="D49" s="57" t="n">
        <v>11.3</v>
      </c>
      <c r="E49" s="57" t="n">
        <v>0</v>
      </c>
    </row>
    <row r="50" customFormat="false" ht="15" hidden="false" customHeight="false" outlineLevel="0" collapsed="false">
      <c r="A50" s="55" t="s">
        <v>268</v>
      </c>
      <c r="B50" s="11" t="s">
        <v>173</v>
      </c>
      <c r="C50" s="51" t="n">
        <v>11</v>
      </c>
      <c r="D50" s="57" t="n">
        <v>10.3</v>
      </c>
      <c r="E50" s="57" t="n">
        <v>0</v>
      </c>
    </row>
    <row r="53" customFormat="false" ht="15" hidden="false" customHeight="false" outlineLevel="0" collapsed="false">
      <c r="A53" s="46" t="s">
        <v>182</v>
      </c>
      <c r="B53" s="46"/>
      <c r="C53" s="46"/>
      <c r="D53" s="46"/>
      <c r="E53" s="46"/>
      <c r="F53" s="46"/>
    </row>
    <row r="54" customFormat="false" ht="17.15" hidden="false" customHeight="false" outlineLevel="0" collapsed="false">
      <c r="A54" s="5" t="s">
        <v>183</v>
      </c>
      <c r="B54" s="5" t="s">
        <v>184</v>
      </c>
      <c r="C54" s="5" t="s">
        <v>185</v>
      </c>
    </row>
    <row r="55" customFormat="false" ht="15" hidden="false" customHeight="false" outlineLevel="0" collapsed="false">
      <c r="A55" s="11" t="s">
        <v>52</v>
      </c>
      <c r="B55" s="51" t="n">
        <v>8</v>
      </c>
      <c r="C55" s="59" t="n">
        <f aca="false">B55/100</f>
        <v>0.08</v>
      </c>
    </row>
    <row r="56" customFormat="false" ht="15" hidden="false" customHeight="false" outlineLevel="0" collapsed="false">
      <c r="A56" s="11" t="s">
        <v>96</v>
      </c>
      <c r="B56" s="51" t="n">
        <v>3</v>
      </c>
      <c r="C56" s="59" t="n">
        <f aca="false">B56/100</f>
        <v>0.03</v>
      </c>
    </row>
    <row r="57" customFormat="false" ht="15" hidden="false" customHeight="false" outlineLevel="0" collapsed="false">
      <c r="A57" s="11" t="s">
        <v>98</v>
      </c>
      <c r="B57" s="51" t="n">
        <v>2</v>
      </c>
      <c r="C57" s="59" t="n">
        <f aca="false">B57/100</f>
        <v>0.02</v>
      </c>
    </row>
    <row r="58" customFormat="false" ht="15" hidden="false" customHeight="false" outlineLevel="0" collapsed="false">
      <c r="A58" s="11" t="s">
        <v>100</v>
      </c>
      <c r="B58" s="51" t="n">
        <v>1</v>
      </c>
      <c r="C58" s="59" t="n">
        <f aca="false">B58/100</f>
        <v>0.01</v>
      </c>
    </row>
    <row r="59" customFormat="false" ht="15" hidden="false" customHeight="false" outlineLevel="0" collapsed="false">
      <c r="A59" s="11" t="s">
        <v>97</v>
      </c>
      <c r="B59" s="51" t="n">
        <v>1</v>
      </c>
      <c r="C59" s="59" t="n">
        <f aca="false">B59/100</f>
        <v>0.01</v>
      </c>
    </row>
    <row r="62" customFormat="false" ht="19.4" hidden="false" customHeight="false" outlineLevel="0" collapsed="false">
      <c r="A62" s="46" t="s">
        <v>186</v>
      </c>
      <c r="B62" s="46"/>
      <c r="C62" s="46"/>
      <c r="D62" s="46"/>
      <c r="E62" s="46"/>
      <c r="F62" s="46"/>
    </row>
    <row r="63" customFormat="false" ht="17.15" hidden="false" customHeight="false" outlineLevel="0" collapsed="false">
      <c r="A63" s="5" t="s">
        <v>187</v>
      </c>
      <c r="B63" s="5" t="s">
        <v>184</v>
      </c>
      <c r="C63" s="5" t="s">
        <v>185</v>
      </c>
    </row>
    <row r="64" customFormat="false" ht="15" hidden="false" customHeight="false" outlineLevel="0" collapsed="false">
      <c r="A64" s="11" t="s">
        <v>76</v>
      </c>
      <c r="B64" s="51" t="n">
        <v>11</v>
      </c>
      <c r="C64" s="59" t="n">
        <f aca="false">B64/100</f>
        <v>0.11</v>
      </c>
    </row>
    <row r="65" customFormat="false" ht="15" hidden="false" customHeight="false" outlineLevel="0" collapsed="false">
      <c r="A65" s="11" t="s">
        <v>75</v>
      </c>
      <c r="B65" s="51" t="n">
        <v>4</v>
      </c>
      <c r="C65" s="59" t="n">
        <f aca="false">B65/100</f>
        <v>0.04</v>
      </c>
    </row>
    <row r="66" customFormat="false" ht="15" hidden="false" customHeight="false" outlineLevel="0" collapsed="false">
      <c r="A66" s="11" t="s">
        <v>82</v>
      </c>
      <c r="B66" s="51" t="n">
        <v>2</v>
      </c>
      <c r="C66" s="59" t="n">
        <f aca="false">B66/100</f>
        <v>0.02</v>
      </c>
    </row>
    <row r="67" customFormat="false" ht="15" hidden="false" customHeight="false" outlineLevel="0" collapsed="false">
      <c r="A67" s="11" t="s">
        <v>80</v>
      </c>
      <c r="B67" s="51" t="n">
        <v>1</v>
      </c>
      <c r="C67" s="59" t="n">
        <f aca="false">B67/100</f>
        <v>0.01</v>
      </c>
    </row>
    <row r="68" customFormat="false" ht="15" hidden="false" customHeight="false" outlineLevel="0" collapsed="false">
      <c r="A68" s="11" t="s">
        <v>87</v>
      </c>
      <c r="B68" s="51" t="n">
        <v>1</v>
      </c>
      <c r="C68" s="59" t="n">
        <f aca="false">B68/100</f>
        <v>0.01</v>
      </c>
    </row>
    <row r="69" customFormat="false" ht="15" hidden="false" customHeight="false" outlineLevel="0" collapsed="false">
      <c r="A69" s="11" t="s">
        <v>77</v>
      </c>
      <c r="B69" s="51" t="n">
        <v>1</v>
      </c>
      <c r="C69" s="59" t="n">
        <f aca="false">B69/100</f>
        <v>0.01</v>
      </c>
    </row>
    <row r="72" customFormat="false" ht="19.4" hidden="false" customHeight="false" outlineLevel="0" collapsed="false">
      <c r="A72" s="46" t="s">
        <v>188</v>
      </c>
      <c r="B72" s="46"/>
      <c r="C72" s="46"/>
      <c r="D72" s="46"/>
      <c r="E72" s="46"/>
      <c r="F72" s="46"/>
    </row>
    <row r="73" customFormat="false" ht="42" hidden="false" customHeight="true" outlineLevel="0" collapsed="false">
      <c r="A73" s="60" t="s">
        <v>200</v>
      </c>
      <c r="B73" s="61" t="s">
        <v>311</v>
      </c>
      <c r="C73" s="61"/>
      <c r="D73" s="61"/>
      <c r="E73" s="61"/>
      <c r="F73" s="61"/>
    </row>
    <row r="74" customFormat="false" ht="42" hidden="false" customHeight="true" outlineLevel="0" collapsed="false">
      <c r="A74" s="60" t="s">
        <v>189</v>
      </c>
      <c r="B74" s="61"/>
      <c r="C74" s="61"/>
      <c r="D74" s="61"/>
      <c r="E74" s="61"/>
      <c r="F74" s="61"/>
    </row>
    <row r="75" customFormat="false" ht="42" hidden="false" customHeight="true" outlineLevel="0" collapsed="false">
      <c r="A75" s="60" t="s">
        <v>199</v>
      </c>
      <c r="B75" s="61" t="s">
        <v>312</v>
      </c>
      <c r="C75" s="61"/>
      <c r="D75" s="61"/>
      <c r="E75" s="61"/>
      <c r="F75" s="61"/>
    </row>
    <row r="76" customFormat="false" ht="42" hidden="false" customHeight="true" outlineLevel="0" collapsed="false">
      <c r="A76" s="60" t="s">
        <v>189</v>
      </c>
      <c r="B76" s="61" t="s">
        <v>313</v>
      </c>
      <c r="C76" s="61"/>
      <c r="D76" s="61"/>
      <c r="E76" s="61"/>
      <c r="F76" s="61"/>
    </row>
    <row r="77" customFormat="false" ht="42" hidden="false" customHeight="true" outlineLevel="0" collapsed="false">
      <c r="A77" s="60" t="s">
        <v>199</v>
      </c>
      <c r="B77" s="61" t="s">
        <v>314</v>
      </c>
      <c r="C77" s="61"/>
      <c r="D77" s="61"/>
      <c r="E77" s="61"/>
      <c r="F77" s="61"/>
    </row>
  </sheetData>
  <mergeCells count="13">
    <mergeCell ref="A1:F1"/>
    <mergeCell ref="A2:F2"/>
    <mergeCell ref="A4:F4"/>
    <mergeCell ref="A20:F20"/>
    <mergeCell ref="A34:F34"/>
    <mergeCell ref="A53:F53"/>
    <mergeCell ref="A62:F62"/>
    <mergeCell ref="A72:F72"/>
    <mergeCell ref="B73:F73"/>
    <mergeCell ref="B74:F74"/>
    <mergeCell ref="B75:F75"/>
    <mergeCell ref="B76:F76"/>
    <mergeCell ref="B77:F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35" t="s">
        <v>315</v>
      </c>
      <c r="B1" s="35"/>
      <c r="C1" s="35"/>
      <c r="D1" s="35"/>
      <c r="E1" s="35"/>
      <c r="F1" s="35"/>
    </row>
    <row r="2" customFormat="false" ht="15" hidden="false" customHeight="false" outlineLevel="0" collapsed="false">
      <c r="A2" s="2" t="s">
        <v>316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46" t="s">
        <v>137</v>
      </c>
      <c r="B4" s="46"/>
      <c r="C4" s="46"/>
      <c r="D4" s="46"/>
      <c r="E4" s="46"/>
      <c r="F4" s="46"/>
    </row>
    <row r="5" customFormat="false" ht="30.55" hidden="false" customHeight="false" outlineLevel="0" collapsed="false">
      <c r="A5" s="4" t="s">
        <v>138</v>
      </c>
      <c r="B5" s="5" t="s">
        <v>139</v>
      </c>
      <c r="D5" s="4" t="s">
        <v>140</v>
      </c>
      <c r="E5" s="5" t="s">
        <v>139</v>
      </c>
    </row>
    <row r="6" customFormat="false" ht="15" hidden="false" customHeight="false" outlineLevel="0" collapsed="false">
      <c r="A6" s="39" t="s">
        <v>50</v>
      </c>
      <c r="B6" s="47" t="n">
        <v>27</v>
      </c>
      <c r="D6" s="41" t="s">
        <v>63</v>
      </c>
      <c r="E6" s="48" t="n">
        <v>9</v>
      </c>
    </row>
    <row r="7" customFormat="false" ht="15" hidden="false" customHeight="false" outlineLevel="0" collapsed="false">
      <c r="A7" s="39" t="s">
        <v>47</v>
      </c>
      <c r="B7" s="47" t="n">
        <v>25</v>
      </c>
      <c r="D7" s="41" t="s">
        <v>62</v>
      </c>
      <c r="E7" s="48" t="n">
        <v>3</v>
      </c>
    </row>
    <row r="8" customFormat="false" ht="15" hidden="false" customHeight="false" outlineLevel="0" collapsed="false">
      <c r="A8" s="39" t="s">
        <v>46</v>
      </c>
      <c r="B8" s="47" t="n">
        <v>24</v>
      </c>
      <c r="D8" s="41" t="s">
        <v>72</v>
      </c>
      <c r="E8" s="48" t="n">
        <v>1</v>
      </c>
    </row>
    <row r="9" customFormat="false" ht="15" hidden="false" customHeight="false" outlineLevel="0" collapsed="false">
      <c r="A9" s="39" t="s">
        <v>51</v>
      </c>
      <c r="B9" s="47" t="n">
        <v>17</v>
      </c>
      <c r="D9" s="41" t="s">
        <v>117</v>
      </c>
      <c r="E9" s="48" t="n">
        <v>1</v>
      </c>
    </row>
    <row r="10" customFormat="false" ht="15" hidden="false" customHeight="false" outlineLevel="0" collapsed="false">
      <c r="A10" s="39" t="s">
        <v>48</v>
      </c>
      <c r="B10" s="47" t="n">
        <v>9</v>
      </c>
    </row>
    <row r="11" customFormat="false" ht="15" hidden="false" customHeight="false" outlineLevel="0" collapsed="false">
      <c r="A11" s="39" t="s">
        <v>52</v>
      </c>
      <c r="B11" s="47" t="n">
        <v>6</v>
      </c>
    </row>
    <row r="12" customFormat="false" ht="15" hidden="false" customHeight="false" outlineLevel="0" collapsed="false">
      <c r="A12" s="39" t="s">
        <v>152</v>
      </c>
      <c r="B12" s="47" t="n">
        <v>4</v>
      </c>
    </row>
    <row r="13" customFormat="false" ht="15" hidden="false" customHeight="false" outlineLevel="0" collapsed="false">
      <c r="A13" s="39" t="s">
        <v>55</v>
      </c>
      <c r="B13" s="47" t="n">
        <v>4</v>
      </c>
    </row>
    <row r="14" customFormat="false" ht="15" hidden="false" customHeight="false" outlineLevel="0" collapsed="false">
      <c r="A14" s="39" t="s">
        <v>244</v>
      </c>
      <c r="B14" s="47" t="n">
        <v>4</v>
      </c>
    </row>
    <row r="15" customFormat="false" ht="15" hidden="false" customHeight="false" outlineLevel="0" collapsed="false">
      <c r="A15" s="39" t="s">
        <v>112</v>
      </c>
      <c r="B15" s="47" t="n">
        <v>4</v>
      </c>
    </row>
    <row r="16" customFormat="false" ht="15" hidden="false" customHeight="false" outlineLevel="0" collapsed="false">
      <c r="A16" s="39" t="s">
        <v>59</v>
      </c>
      <c r="B16" s="47" t="n">
        <v>2</v>
      </c>
    </row>
    <row r="17" customFormat="false" ht="15" hidden="false" customHeight="false" outlineLevel="0" collapsed="false">
      <c r="A17" s="39" t="s">
        <v>129</v>
      </c>
      <c r="B17" s="47" t="n">
        <v>2</v>
      </c>
    </row>
    <row r="20" customFormat="false" ht="15" hidden="false" customHeight="false" outlineLevel="0" collapsed="false">
      <c r="A20" s="46" t="s">
        <v>141</v>
      </c>
      <c r="B20" s="46"/>
      <c r="C20" s="46"/>
      <c r="D20" s="46"/>
      <c r="E20" s="46"/>
      <c r="F20" s="46"/>
    </row>
    <row r="21" customFormat="false" ht="17.15" hidden="false" customHeight="false" outlineLevel="0" collapsed="false">
      <c r="A21" s="5" t="s">
        <v>142</v>
      </c>
      <c r="B21" s="5" t="s">
        <v>143</v>
      </c>
      <c r="C21" s="5" t="s">
        <v>144</v>
      </c>
      <c r="D21" s="5" t="s">
        <v>145</v>
      </c>
      <c r="E21" s="5" t="s">
        <v>146</v>
      </c>
    </row>
    <row r="22" customFormat="false" ht="26.85" hidden="false" customHeight="false" outlineLevel="0" collapsed="false">
      <c r="A22" s="7" t="s">
        <v>147</v>
      </c>
      <c r="B22" s="7" t="s">
        <v>148</v>
      </c>
      <c r="C22" s="7" t="s">
        <v>150</v>
      </c>
      <c r="D22" s="49" t="n">
        <v>87</v>
      </c>
      <c r="E22" s="50" t="n">
        <v>0.32</v>
      </c>
    </row>
    <row r="23" customFormat="false" ht="26.85" hidden="false" customHeight="false" outlineLevel="0" collapsed="false">
      <c r="A23" s="11" t="s">
        <v>147</v>
      </c>
      <c r="B23" s="11" t="s">
        <v>148</v>
      </c>
      <c r="C23" s="11" t="s">
        <v>149</v>
      </c>
      <c r="D23" s="51" t="n">
        <v>81</v>
      </c>
      <c r="E23" s="52" t="n">
        <v>0.3</v>
      </c>
    </row>
    <row r="24" customFormat="false" ht="26.85" hidden="false" customHeight="false" outlineLevel="0" collapsed="false">
      <c r="A24" s="7" t="s">
        <v>147</v>
      </c>
      <c r="B24" s="7" t="s">
        <v>148</v>
      </c>
      <c r="C24" s="7" t="s">
        <v>151</v>
      </c>
      <c r="D24" s="49" t="n">
        <v>49</v>
      </c>
      <c r="E24" s="50" t="n">
        <v>0.18</v>
      </c>
    </row>
    <row r="25" customFormat="false" ht="26.85" hidden="false" customHeight="false" outlineLevel="0" collapsed="false">
      <c r="A25" s="11" t="s">
        <v>147</v>
      </c>
      <c r="B25" s="11" t="s">
        <v>148</v>
      </c>
      <c r="C25" s="11" t="s">
        <v>152</v>
      </c>
      <c r="D25" s="51" t="n">
        <v>48</v>
      </c>
      <c r="E25" s="52" t="n">
        <v>0.18</v>
      </c>
    </row>
    <row r="26" customFormat="false" ht="15" hidden="false" customHeight="false" outlineLevel="0" collapsed="false">
      <c r="A26" s="7" t="s">
        <v>158</v>
      </c>
      <c r="B26" s="7" t="s">
        <v>159</v>
      </c>
      <c r="C26" s="53" t="s">
        <v>160</v>
      </c>
      <c r="D26" s="49" t="n">
        <v>170</v>
      </c>
      <c r="E26" s="54" t="n">
        <v>0.64</v>
      </c>
    </row>
    <row r="27" customFormat="false" ht="15" hidden="false" customHeight="false" outlineLevel="0" collapsed="false">
      <c r="A27" s="11" t="s">
        <v>158</v>
      </c>
      <c r="B27" s="11" t="s">
        <v>159</v>
      </c>
      <c r="C27" s="11" t="s">
        <v>156</v>
      </c>
      <c r="D27" s="51" t="n">
        <v>92</v>
      </c>
      <c r="E27" s="52" t="n">
        <v>0.34</v>
      </c>
    </row>
    <row r="28" customFormat="false" ht="15" hidden="false" customHeight="false" outlineLevel="0" collapsed="false">
      <c r="A28" s="7" t="s">
        <v>158</v>
      </c>
      <c r="B28" s="7" t="s">
        <v>159</v>
      </c>
      <c r="C28" s="7" t="s">
        <v>161</v>
      </c>
      <c r="D28" s="49" t="n">
        <v>3</v>
      </c>
      <c r="E28" s="50" t="n">
        <v>0.01</v>
      </c>
    </row>
    <row r="29" customFormat="false" ht="15" hidden="false" customHeight="false" outlineLevel="0" collapsed="false">
      <c r="A29" s="11" t="s">
        <v>205</v>
      </c>
      <c r="B29" s="11" t="s">
        <v>206</v>
      </c>
      <c r="C29" s="55" t="s">
        <v>155</v>
      </c>
      <c r="D29" s="51" t="n">
        <v>159</v>
      </c>
      <c r="E29" s="56" t="n">
        <v>0.6</v>
      </c>
    </row>
    <row r="30" customFormat="false" ht="15" hidden="false" customHeight="false" outlineLevel="0" collapsed="false">
      <c r="A30" s="7" t="s">
        <v>205</v>
      </c>
      <c r="B30" s="7" t="s">
        <v>206</v>
      </c>
      <c r="C30" s="7" t="s">
        <v>156</v>
      </c>
      <c r="D30" s="49" t="n">
        <v>106</v>
      </c>
      <c r="E30" s="50" t="n">
        <v>0.4</v>
      </c>
    </row>
    <row r="31" customFormat="false" ht="15" hidden="false" customHeight="false" outlineLevel="0" collapsed="false">
      <c r="A31" s="11" t="s">
        <v>205</v>
      </c>
      <c r="B31" s="11" t="s">
        <v>206</v>
      </c>
      <c r="C31" s="11" t="s">
        <v>157</v>
      </c>
      <c r="D31" s="51" t="n">
        <v>0</v>
      </c>
      <c r="E31" s="52" t="n">
        <v>0</v>
      </c>
    </row>
    <row r="32" customFormat="false" ht="15" hidden="false" customHeight="false" outlineLevel="0" collapsed="false">
      <c r="A32" s="7" t="s">
        <v>317</v>
      </c>
      <c r="B32" s="7" t="s">
        <v>318</v>
      </c>
      <c r="C32" s="53" t="s">
        <v>156</v>
      </c>
      <c r="D32" s="49" t="n">
        <v>32</v>
      </c>
      <c r="E32" s="54" t="n">
        <v>0.53</v>
      </c>
    </row>
    <row r="33" customFormat="false" ht="15" hidden="false" customHeight="false" outlineLevel="0" collapsed="false">
      <c r="A33" s="11" t="s">
        <v>317</v>
      </c>
      <c r="B33" s="11" t="s">
        <v>318</v>
      </c>
      <c r="C33" s="11" t="s">
        <v>319</v>
      </c>
      <c r="D33" s="51" t="n">
        <v>24</v>
      </c>
      <c r="E33" s="52" t="n">
        <v>0.4</v>
      </c>
    </row>
    <row r="34" customFormat="false" ht="15" hidden="false" customHeight="false" outlineLevel="0" collapsed="false">
      <c r="A34" s="7" t="s">
        <v>317</v>
      </c>
      <c r="B34" s="7" t="s">
        <v>318</v>
      </c>
      <c r="C34" s="7" t="s">
        <v>320</v>
      </c>
      <c r="D34" s="49" t="n">
        <v>4</v>
      </c>
      <c r="E34" s="50" t="n">
        <v>0.06</v>
      </c>
    </row>
    <row r="37" customFormat="false" ht="19.4" hidden="false" customHeight="false" outlineLevel="0" collapsed="false">
      <c r="A37" s="46" t="s">
        <v>167</v>
      </c>
      <c r="B37" s="46"/>
      <c r="C37" s="46"/>
      <c r="D37" s="46"/>
      <c r="E37" s="46"/>
      <c r="F37" s="46"/>
    </row>
    <row r="38" customFormat="false" ht="17.15" hidden="false" customHeight="false" outlineLevel="0" collapsed="false">
      <c r="A38" s="5" t="s">
        <v>168</v>
      </c>
      <c r="B38" s="5" t="s">
        <v>169</v>
      </c>
      <c r="C38" s="5" t="s">
        <v>170</v>
      </c>
      <c r="D38" s="5" t="s">
        <v>171</v>
      </c>
      <c r="E38" s="5" t="s">
        <v>172</v>
      </c>
    </row>
    <row r="39" customFormat="false" ht="15" hidden="false" customHeight="false" outlineLevel="0" collapsed="false">
      <c r="A39" s="55" t="s">
        <v>293</v>
      </c>
      <c r="B39" s="11" t="s">
        <v>173</v>
      </c>
      <c r="C39" s="51" t="n">
        <v>40</v>
      </c>
      <c r="D39" s="57" t="n">
        <v>80.8</v>
      </c>
      <c r="E39" s="57" t="n">
        <v>55.6</v>
      </c>
    </row>
    <row r="40" customFormat="false" ht="15" hidden="false" customHeight="false" outlineLevel="0" collapsed="false">
      <c r="A40" s="55" t="s">
        <v>47</v>
      </c>
      <c r="B40" s="58" t="s">
        <v>174</v>
      </c>
      <c r="C40" s="51" t="n">
        <v>23</v>
      </c>
      <c r="D40" s="57" t="n">
        <v>46.5</v>
      </c>
      <c r="E40" s="57" t="n">
        <v>0</v>
      </c>
    </row>
    <row r="41" customFormat="false" ht="15" hidden="false" customHeight="false" outlineLevel="0" collapsed="false">
      <c r="A41" s="55" t="s">
        <v>321</v>
      </c>
      <c r="B41" s="11" t="s">
        <v>173</v>
      </c>
      <c r="C41" s="51" t="n">
        <v>18</v>
      </c>
      <c r="D41" s="57" t="n">
        <v>36.4</v>
      </c>
      <c r="E41" s="57" t="n">
        <v>27.8</v>
      </c>
    </row>
    <row r="42" customFormat="false" ht="15" hidden="false" customHeight="false" outlineLevel="0" collapsed="false">
      <c r="A42" s="55" t="s">
        <v>46</v>
      </c>
      <c r="B42" s="58" t="s">
        <v>174</v>
      </c>
      <c r="C42" s="51" t="n">
        <v>18</v>
      </c>
      <c r="D42" s="57" t="n">
        <v>36.4</v>
      </c>
      <c r="E42" s="57" t="n">
        <v>27.8</v>
      </c>
    </row>
    <row r="45" customFormat="false" ht="15" hidden="false" customHeight="false" outlineLevel="0" collapsed="false">
      <c r="A45" s="46" t="s">
        <v>182</v>
      </c>
      <c r="B45" s="46"/>
      <c r="C45" s="46"/>
      <c r="D45" s="46"/>
      <c r="E45" s="46"/>
      <c r="F45" s="46"/>
    </row>
    <row r="46" customFormat="false" ht="17.15" hidden="false" customHeight="false" outlineLevel="0" collapsed="false">
      <c r="A46" s="5" t="s">
        <v>183</v>
      </c>
      <c r="B46" s="5" t="s">
        <v>184</v>
      </c>
      <c r="C46" s="5" t="s">
        <v>185</v>
      </c>
    </row>
    <row r="47" customFormat="false" ht="15" hidden="false" customHeight="false" outlineLevel="0" collapsed="false">
      <c r="A47" s="11" t="s">
        <v>52</v>
      </c>
      <c r="B47" s="51" t="n">
        <v>3</v>
      </c>
      <c r="C47" s="59" t="n">
        <f aca="false">B47/93</f>
        <v>0.032258064516129</v>
      </c>
    </row>
    <row r="48" customFormat="false" ht="15" hidden="false" customHeight="false" outlineLevel="0" collapsed="false">
      <c r="A48" s="11" t="s">
        <v>97</v>
      </c>
      <c r="B48" s="51" t="n">
        <v>1</v>
      </c>
      <c r="C48" s="59" t="n">
        <f aca="false">B48/93</f>
        <v>0.010752688172043</v>
      </c>
    </row>
    <row r="49" customFormat="false" ht="15" hidden="false" customHeight="false" outlineLevel="0" collapsed="false">
      <c r="A49" s="11" t="s">
        <v>50</v>
      </c>
      <c r="B49" s="51" t="n">
        <v>1</v>
      </c>
      <c r="C49" s="59" t="n">
        <f aca="false">B49/93</f>
        <v>0.010752688172043</v>
      </c>
    </row>
    <row r="52" customFormat="false" ht="19.4" hidden="false" customHeight="false" outlineLevel="0" collapsed="false">
      <c r="A52" s="46" t="s">
        <v>186</v>
      </c>
      <c r="B52" s="46"/>
      <c r="C52" s="46"/>
      <c r="D52" s="46"/>
      <c r="E52" s="46"/>
      <c r="F52" s="46"/>
    </row>
    <row r="53" customFormat="false" ht="17.15" hidden="false" customHeight="false" outlineLevel="0" collapsed="false">
      <c r="A53" s="5" t="s">
        <v>187</v>
      </c>
      <c r="B53" s="5" t="s">
        <v>184</v>
      </c>
      <c r="C53" s="5" t="s">
        <v>185</v>
      </c>
    </row>
    <row r="54" customFormat="false" ht="15" hidden="false" customHeight="false" outlineLevel="0" collapsed="false">
      <c r="A54" s="11" t="s">
        <v>75</v>
      </c>
      <c r="B54" s="51" t="n">
        <v>6</v>
      </c>
      <c r="C54" s="59" t="n">
        <f aca="false">B54/93</f>
        <v>0.0645161290322581</v>
      </c>
    </row>
    <row r="55" customFormat="false" ht="15" hidden="false" customHeight="false" outlineLevel="0" collapsed="false">
      <c r="A55" s="11" t="s">
        <v>76</v>
      </c>
      <c r="B55" s="51" t="n">
        <v>4</v>
      </c>
      <c r="C55" s="59" t="n">
        <f aca="false">B55/93</f>
        <v>0.043010752688172</v>
      </c>
    </row>
    <row r="56" customFormat="false" ht="15" hidden="false" customHeight="false" outlineLevel="0" collapsed="false">
      <c r="A56" s="11" t="s">
        <v>84</v>
      </c>
      <c r="B56" s="51" t="n">
        <v>1</v>
      </c>
      <c r="C56" s="59" t="n">
        <f aca="false">B56/93</f>
        <v>0.010752688172043</v>
      </c>
    </row>
    <row r="57" customFormat="false" ht="15" hidden="false" customHeight="false" outlineLevel="0" collapsed="false">
      <c r="A57" s="11" t="s">
        <v>78</v>
      </c>
      <c r="B57" s="51" t="n">
        <v>1</v>
      </c>
      <c r="C57" s="59" t="n">
        <f aca="false">B57/93</f>
        <v>0.010752688172043</v>
      </c>
    </row>
    <row r="58" customFormat="false" ht="15" hidden="false" customHeight="false" outlineLevel="0" collapsed="false">
      <c r="A58" s="11" t="s">
        <v>79</v>
      </c>
      <c r="B58" s="51" t="n">
        <v>1</v>
      </c>
      <c r="C58" s="59" t="n">
        <f aca="false">B58/93</f>
        <v>0.010752688172043</v>
      </c>
    </row>
    <row r="59" customFormat="false" ht="15" hidden="false" customHeight="false" outlineLevel="0" collapsed="false">
      <c r="A59" s="11" t="s">
        <v>77</v>
      </c>
      <c r="B59" s="51" t="n">
        <v>1</v>
      </c>
      <c r="C59" s="59" t="n">
        <f aca="false">B59/93</f>
        <v>0.010752688172043</v>
      </c>
    </row>
    <row r="60" customFormat="false" ht="15" hidden="false" customHeight="false" outlineLevel="0" collapsed="false">
      <c r="A60" s="11" t="s">
        <v>88</v>
      </c>
      <c r="B60" s="51" t="n">
        <v>1</v>
      </c>
      <c r="C60" s="59" t="n">
        <f aca="false">B60/93</f>
        <v>0.010752688172043</v>
      </c>
    </row>
    <row r="63" customFormat="false" ht="19.4" hidden="false" customHeight="false" outlineLevel="0" collapsed="false">
      <c r="A63" s="46" t="s">
        <v>188</v>
      </c>
      <c r="B63" s="46"/>
      <c r="C63" s="46"/>
      <c r="D63" s="46"/>
      <c r="E63" s="46"/>
      <c r="F63" s="46"/>
    </row>
    <row r="64" customFormat="false" ht="42" hidden="false" customHeight="true" outlineLevel="0" collapsed="false">
      <c r="A64" s="60" t="s">
        <v>189</v>
      </c>
      <c r="B64" s="61" t="s">
        <v>322</v>
      </c>
      <c r="C64" s="61"/>
      <c r="D64" s="61"/>
      <c r="E64" s="61"/>
      <c r="F64" s="61"/>
    </row>
    <row r="65" customFormat="false" ht="42" hidden="false" customHeight="true" outlineLevel="0" collapsed="false">
      <c r="A65" s="60" t="s">
        <v>189</v>
      </c>
      <c r="B65" s="61" t="s">
        <v>323</v>
      </c>
      <c r="C65" s="61"/>
      <c r="D65" s="61"/>
      <c r="E65" s="61"/>
      <c r="F65" s="61"/>
    </row>
    <row r="66" customFormat="false" ht="42" hidden="false" customHeight="true" outlineLevel="0" collapsed="false">
      <c r="A66" s="60" t="s">
        <v>189</v>
      </c>
      <c r="B66" s="61" t="s">
        <v>324</v>
      </c>
      <c r="C66" s="61"/>
      <c r="D66" s="61"/>
      <c r="E66" s="61"/>
      <c r="F66" s="61"/>
    </row>
    <row r="67" customFormat="false" ht="42" hidden="false" customHeight="true" outlineLevel="0" collapsed="false">
      <c r="A67" s="60" t="s">
        <v>189</v>
      </c>
      <c r="B67" s="61" t="s">
        <v>325</v>
      </c>
      <c r="C67" s="61"/>
      <c r="D67" s="61"/>
      <c r="E67" s="61"/>
      <c r="F67" s="61"/>
    </row>
    <row r="68" customFormat="false" ht="42" hidden="false" customHeight="true" outlineLevel="0" collapsed="false">
      <c r="A68" s="60" t="s">
        <v>189</v>
      </c>
      <c r="B68" s="61" t="s">
        <v>326</v>
      </c>
      <c r="C68" s="61"/>
      <c r="D68" s="61"/>
      <c r="E68" s="61"/>
      <c r="F68" s="61"/>
    </row>
  </sheetData>
  <mergeCells count="13">
    <mergeCell ref="A1:F1"/>
    <mergeCell ref="A2:F2"/>
    <mergeCell ref="A4:F4"/>
    <mergeCell ref="A20:F20"/>
    <mergeCell ref="A37:F37"/>
    <mergeCell ref="A45:F45"/>
    <mergeCell ref="A52:F52"/>
    <mergeCell ref="A63:F63"/>
    <mergeCell ref="B64:F64"/>
    <mergeCell ref="B65:F65"/>
    <mergeCell ref="B66:F66"/>
    <mergeCell ref="B67:F67"/>
    <mergeCell ref="B68:F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2026-04-22T01:54:57Z</dcterms:created>
  <dc:creator>openpyxl</dc:creator>
  <dc:description/>
  <dc:language>en-US</dc:language>
  <cp:lastModifiedBy/>
  <dcterms:modified xsi:type="dcterms:W3CDTF">2026-04-22T01:54:58Z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